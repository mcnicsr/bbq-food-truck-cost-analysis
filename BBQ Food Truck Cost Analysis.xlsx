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6373db01ded1626/Desktop/"/>
    </mc:Choice>
  </mc:AlternateContent>
  <xr:revisionPtr revIDLastSave="1815" documentId="8_{025141EA-69CC-40CF-98D9-AC056BED5035}" xr6:coauthVersionLast="47" xr6:coauthVersionMax="47" xr10:uidLastSave="{B84AB4CF-7684-4A1D-9050-818A1F8C5611}"/>
  <bookViews>
    <workbookView xWindow="690" yWindow="690" windowWidth="26775" windowHeight="14445" activeTab="7" xr2:uid="{0417A2ED-5E01-4CA9-88A4-76EE4BB198C6}"/>
  </bookViews>
  <sheets>
    <sheet name="guide" sheetId="7" r:id="rId1"/>
    <sheet name="Ingredients" sheetId="1" r:id="rId2"/>
    <sheet name="Meat Prep" sheetId="9" r:id="rId3"/>
    <sheet name="Meat Recipes" sheetId="2" r:id="rId4"/>
    <sheet name="Other recipes" sheetId="3" r:id="rId5"/>
    <sheet name="Packaging" sheetId="5" r:id="rId6"/>
    <sheet name="Menu items" sheetId="4" r:id="rId7"/>
    <sheet name="Cost analysis" sheetId="6"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5" i="4" l="1"/>
  <c r="I6" i="4"/>
  <c r="I7" i="4"/>
  <c r="I8" i="4"/>
  <c r="I9" i="4"/>
  <c r="I10" i="4"/>
  <c r="I11" i="4"/>
  <c r="I12" i="4"/>
  <c r="I14" i="4"/>
  <c r="I16" i="4"/>
  <c r="I18" i="4"/>
  <c r="I19" i="4"/>
  <c r="I20" i="4"/>
  <c r="I21" i="4"/>
  <c r="I22" i="4"/>
  <c r="I23" i="4"/>
  <c r="I24" i="4"/>
  <c r="I25" i="4"/>
  <c r="I27" i="4"/>
  <c r="I28" i="4"/>
  <c r="I29" i="4"/>
  <c r="I30" i="4"/>
  <c r="I32" i="4"/>
  <c r="I33" i="4"/>
  <c r="I34" i="4"/>
  <c r="I35" i="4"/>
  <c r="I3" i="4"/>
  <c r="I4" i="9"/>
  <c r="I5" i="9"/>
  <c r="I6" i="9"/>
  <c r="I3" i="9"/>
  <c r="H10" i="1"/>
  <c r="F12" i="2"/>
  <c r="H21" i="1"/>
  <c r="F20" i="2"/>
  <c r="F21" i="2"/>
  <c r="F22" i="2"/>
  <c r="F23" i="2"/>
  <c r="F24" i="2"/>
  <c r="F5" i="2"/>
  <c r="F6" i="2"/>
  <c r="F7" i="2"/>
  <c r="F8" i="2"/>
  <c r="F9" i="2"/>
  <c r="F10" i="2"/>
  <c r="F11" i="2"/>
  <c r="F13" i="2"/>
  <c r="F14" i="2"/>
  <c r="E11" i="5"/>
  <c r="E10" i="5"/>
  <c r="H28" i="1"/>
  <c r="H11" i="1"/>
  <c r="H45" i="1"/>
  <c r="H27" i="1"/>
  <c r="H16" i="1"/>
  <c r="H39" i="1"/>
  <c r="D36" i="1"/>
  <c r="H36" i="1"/>
  <c r="D19" i="1"/>
  <c r="H19" i="1"/>
  <c r="H26" i="1"/>
  <c r="H15" i="1"/>
  <c r="H37" i="1"/>
  <c r="H14" i="1"/>
  <c r="D41" i="1"/>
  <c r="H41" i="1"/>
  <c r="H13" i="1"/>
  <c r="E31" i="3"/>
  <c r="H33" i="1"/>
  <c r="E32" i="3"/>
  <c r="H35" i="1"/>
  <c r="E33" i="3"/>
  <c r="H38" i="1"/>
  <c r="E17" i="3"/>
  <c r="H29" i="1"/>
  <c r="E18" i="3"/>
  <c r="H42" i="1"/>
  <c r="E19" i="3"/>
  <c r="H30" i="1"/>
  <c r="E21" i="3"/>
  <c r="H43" i="1"/>
  <c r="E22" i="3"/>
  <c r="E23" i="3"/>
  <c r="H22" i="1"/>
  <c r="E24" i="3"/>
  <c r="H34" i="1"/>
  <c r="E25" i="3"/>
  <c r="H25" i="1"/>
  <c r="E4" i="3"/>
  <c r="E5" i="3"/>
  <c r="E6" i="3"/>
  <c r="E8" i="3"/>
  <c r="E9" i="3"/>
  <c r="E10" i="3"/>
  <c r="E11" i="3"/>
  <c r="H12" i="1"/>
  <c r="E40" i="4"/>
  <c r="M34" i="4" s="1"/>
  <c r="H20" i="1"/>
  <c r="E41" i="4"/>
  <c r="H40" i="1"/>
  <c r="E42" i="4"/>
  <c r="H31" i="1"/>
  <c r="E43" i="4"/>
  <c r="H24" i="1"/>
  <c r="E39" i="4"/>
  <c r="E38" i="4"/>
  <c r="H32" i="1"/>
  <c r="E41" i="3"/>
  <c r="E40" i="3"/>
  <c r="D4" i="9"/>
  <c r="E4" i="9" s="1"/>
  <c r="H18" i="1"/>
  <c r="E12" i="3"/>
  <c r="E26" i="3"/>
  <c r="E34" i="3"/>
  <c r="H23" i="1"/>
  <c r="G5" i="4"/>
  <c r="M5" i="4"/>
  <c r="E9" i="5"/>
  <c r="N5" i="4"/>
  <c r="G6" i="4"/>
  <c r="N6" i="4"/>
  <c r="G7" i="4"/>
  <c r="K7" i="4"/>
  <c r="N7" i="4"/>
  <c r="G8" i="4"/>
  <c r="N8" i="4"/>
  <c r="N9" i="4"/>
  <c r="N10" i="4"/>
  <c r="N11" i="4"/>
  <c r="N12" i="4"/>
  <c r="D3" i="9"/>
  <c r="E3" i="9" s="1"/>
  <c r="G16" i="4"/>
  <c r="N16" i="4"/>
  <c r="G18" i="4"/>
  <c r="M18" i="4"/>
  <c r="N18" i="4"/>
  <c r="G19" i="4"/>
  <c r="N19" i="4"/>
  <c r="G20" i="4"/>
  <c r="M20" i="4"/>
  <c r="N20" i="4"/>
  <c r="G21" i="4"/>
  <c r="K21" i="4"/>
  <c r="M21" i="4"/>
  <c r="N21" i="4"/>
  <c r="N22" i="4"/>
  <c r="N23" i="4"/>
  <c r="N24" i="4"/>
  <c r="N25" i="4"/>
  <c r="D5" i="9"/>
  <c r="E5" i="9" s="1"/>
  <c r="N27" i="4"/>
  <c r="N28" i="4"/>
  <c r="M29" i="4"/>
  <c r="N29" i="4"/>
  <c r="K30" i="4"/>
  <c r="M30" i="4"/>
  <c r="N30" i="4"/>
  <c r="D6" i="9"/>
  <c r="E6" i="9" s="1"/>
  <c r="K32" i="4"/>
  <c r="N32" i="4"/>
  <c r="N33" i="4"/>
  <c r="N34" i="4"/>
  <c r="N35" i="4"/>
  <c r="E8" i="5"/>
  <c r="N14" i="4"/>
  <c r="G3" i="4"/>
  <c r="N3" i="4"/>
  <c r="F7" i="5"/>
  <c r="E6" i="5"/>
  <c r="E7" i="5"/>
  <c r="D26" i="2"/>
  <c r="E5" i="5"/>
  <c r="E4" i="5"/>
  <c r="E3" i="5"/>
  <c r="G4" i="9"/>
  <c r="G5" i="9"/>
  <c r="G6" i="9"/>
  <c r="G3" i="9"/>
  <c r="D15" i="2"/>
  <c r="H17" i="1"/>
  <c r="M12" i="4" l="1"/>
  <c r="M35" i="4"/>
  <c r="M32" i="4"/>
  <c r="K33" i="4"/>
  <c r="K24" i="4"/>
  <c r="K34" i="4"/>
  <c r="K22" i="4"/>
  <c r="K35" i="4"/>
  <c r="M19" i="4"/>
  <c r="M33" i="4"/>
  <c r="M23" i="4"/>
  <c r="M24" i="4"/>
  <c r="M22" i="4"/>
  <c r="K23" i="4"/>
  <c r="K25" i="4"/>
  <c r="K27" i="4"/>
  <c r="E20" i="3"/>
  <c r="E27" i="3" s="1"/>
  <c r="F27" i="3" s="1"/>
  <c r="E7" i="3"/>
  <c r="E13" i="3" s="1"/>
  <c r="F13" i="3" s="1"/>
  <c r="M11" i="4"/>
  <c r="M7" i="4"/>
  <c r="M28" i="4"/>
  <c r="K6" i="4"/>
  <c r="K19" i="4"/>
  <c r="M27" i="4"/>
  <c r="K28" i="4"/>
  <c r="K11" i="4"/>
  <c r="K20" i="4"/>
  <c r="K29" i="4"/>
  <c r="E35" i="3"/>
  <c r="F35" i="3" s="1"/>
  <c r="M8" i="4"/>
  <c r="M25" i="4"/>
  <c r="F15" i="2"/>
  <c r="F16" i="2" s="1"/>
  <c r="F25" i="2" s="1"/>
  <c r="M6" i="4"/>
  <c r="M10" i="4"/>
  <c r="K9" i="4"/>
  <c r="K10" i="4"/>
  <c r="K5" i="4"/>
  <c r="K8" i="4"/>
  <c r="M9" i="4"/>
  <c r="K12" i="4"/>
  <c r="K18" i="4"/>
  <c r="O49" i="4" l="1"/>
  <c r="C38" i="6" s="1"/>
  <c r="D38" i="6" s="1"/>
  <c r="E49" i="4"/>
  <c r="O48" i="4"/>
  <c r="C37" i="6" s="1"/>
  <c r="D37" i="6" s="1"/>
  <c r="E48" i="4"/>
  <c r="O47" i="4"/>
  <c r="C36" i="6" s="1"/>
  <c r="D36" i="6" s="1"/>
  <c r="E47" i="4"/>
  <c r="J5" i="9"/>
  <c r="J3" i="9"/>
  <c r="J4" i="9"/>
  <c r="J6" i="9"/>
  <c r="F26" i="2"/>
  <c r="F27" i="2" s="1"/>
  <c r="F28" i="2" s="1"/>
  <c r="F38" i="6" l="1"/>
  <c r="G38" i="6"/>
  <c r="H38" i="6"/>
  <c r="F37" i="6"/>
  <c r="H37" i="6"/>
  <c r="G37" i="6"/>
  <c r="H36" i="6"/>
  <c r="G36" i="6"/>
  <c r="F36" i="6"/>
  <c r="E30" i="4"/>
  <c r="E27" i="4"/>
  <c r="E28" i="4"/>
  <c r="E29" i="4"/>
  <c r="E22" i="4"/>
  <c r="E21" i="4"/>
  <c r="E23" i="4"/>
  <c r="E18" i="4"/>
  <c r="E20" i="4"/>
  <c r="E25" i="4"/>
  <c r="E16" i="4"/>
  <c r="E24" i="4"/>
  <c r="E19" i="4"/>
  <c r="E9" i="4"/>
  <c r="E12" i="4"/>
  <c r="E10" i="4"/>
  <c r="E7" i="4"/>
  <c r="E11" i="4"/>
  <c r="E6" i="4"/>
  <c r="E8" i="4"/>
  <c r="E3" i="4"/>
  <c r="E5" i="4"/>
  <c r="E39" i="3"/>
  <c r="E44" i="3" s="1"/>
  <c r="E14" i="4" s="1"/>
  <c r="E35" i="4"/>
  <c r="E34" i="4"/>
  <c r="E32" i="4"/>
  <c r="E33" i="4"/>
  <c r="O16" i="4" l="1"/>
  <c r="C14" i="6" s="1"/>
  <c r="O11" i="4"/>
  <c r="C11" i="6" s="1"/>
  <c r="D11" i="6" s="1"/>
  <c r="O21" i="4"/>
  <c r="C18" i="6" s="1"/>
  <c r="D18" i="6" s="1"/>
  <c r="O22" i="4"/>
  <c r="C19" i="6" s="1"/>
  <c r="D19" i="6" s="1"/>
  <c r="O24" i="4"/>
  <c r="C21" i="6" s="1"/>
  <c r="O9" i="4"/>
  <c r="C9" i="6" s="1"/>
  <c r="D9" i="6" s="1"/>
  <c r="O12" i="4"/>
  <c r="C12" i="6" s="1"/>
  <c r="D12" i="6" s="1"/>
  <c r="O10" i="4"/>
  <c r="C10" i="6" s="1"/>
  <c r="D10" i="6" s="1"/>
  <c r="O6" i="4"/>
  <c r="C6" i="6" s="1"/>
  <c r="D6" i="6" s="1"/>
  <c r="O8" i="4"/>
  <c r="C8" i="6" s="1"/>
  <c r="D8" i="6" s="1"/>
  <c r="O34" i="4"/>
  <c r="C31" i="6" s="1"/>
  <c r="O7" i="4"/>
  <c r="C7" i="6" s="1"/>
  <c r="D7" i="6" s="1"/>
  <c r="O5" i="4"/>
  <c r="C5" i="6" s="1"/>
  <c r="D5" i="6" s="1"/>
  <c r="O14" i="4"/>
  <c r="C34" i="6" s="1"/>
  <c r="O29" i="4"/>
  <c r="C26" i="6" s="1"/>
  <c r="D26" i="6" s="1"/>
  <c r="O19" i="4"/>
  <c r="C16" i="6" s="1"/>
  <c r="D16" i="6" s="1"/>
  <c r="O3" i="4"/>
  <c r="C4" i="6" s="1"/>
  <c r="D4" i="6" s="1"/>
  <c r="O35" i="4"/>
  <c r="C32" i="6" s="1"/>
  <c r="D32" i="6" s="1"/>
  <c r="O30" i="4"/>
  <c r="C27" i="6" s="1"/>
  <c r="D27" i="6" s="1"/>
  <c r="O28" i="4"/>
  <c r="C25" i="6" s="1"/>
  <c r="D25" i="6" s="1"/>
  <c r="O23" i="4"/>
  <c r="C20" i="6" s="1"/>
  <c r="D20" i="6" s="1"/>
  <c r="O18" i="4"/>
  <c r="C15" i="6" s="1"/>
  <c r="D15" i="6" s="1"/>
  <c r="O20" i="4"/>
  <c r="C17" i="6" s="1"/>
  <c r="D17" i="6" s="1"/>
  <c r="O25" i="4"/>
  <c r="C22" i="6" s="1"/>
  <c r="D22" i="6" s="1"/>
  <c r="O32" i="4"/>
  <c r="C29" i="6" s="1"/>
  <c r="D29" i="6" s="1"/>
  <c r="O33" i="4"/>
  <c r="C30" i="6" s="1"/>
  <c r="D30" i="6" s="1"/>
  <c r="O27" i="4"/>
  <c r="C24" i="6" s="1"/>
  <c r="D24" i="6" s="1"/>
  <c r="E53" i="4"/>
  <c r="O53" i="4"/>
  <c r="C40" i="6" s="1"/>
  <c r="D40" i="6" s="1"/>
  <c r="D14" i="6" l="1"/>
  <c r="H14" i="6"/>
  <c r="G14" i="6"/>
  <c r="F14" i="6"/>
  <c r="F31" i="6"/>
  <c r="H31" i="6"/>
  <c r="D21" i="6"/>
  <c r="G21" i="6"/>
  <c r="H21" i="6"/>
  <c r="F21" i="6"/>
  <c r="D31" i="6"/>
  <c r="G31" i="6"/>
  <c r="D34" i="6"/>
  <c r="H34" i="6"/>
  <c r="F34" i="6"/>
  <c r="G34" i="6"/>
  <c r="F16" i="6"/>
  <c r="G16" i="6"/>
  <c r="H16" i="6"/>
  <c r="F4" i="6"/>
  <c r="H4" i="6"/>
  <c r="G4" i="6"/>
  <c r="F32" i="6"/>
  <c r="G32" i="6"/>
  <c r="H32" i="6"/>
  <c r="G20" i="6"/>
  <c r="H20" i="6"/>
  <c r="F20" i="6"/>
  <c r="F17" i="6"/>
  <c r="H17" i="6"/>
  <c r="G17" i="6"/>
  <c r="F22" i="6"/>
  <c r="H22" i="6"/>
  <c r="G22" i="6"/>
  <c r="F29" i="6"/>
  <c r="G29" i="6"/>
  <c r="H29" i="6"/>
  <c r="F9" i="6"/>
  <c r="G9" i="6"/>
  <c r="H9" i="6"/>
  <c r="H12" i="6"/>
  <c r="G12" i="6"/>
  <c r="F12" i="6"/>
  <c r="G10" i="6"/>
  <c r="H10" i="6"/>
  <c r="F10" i="6"/>
  <c r="F7" i="6"/>
  <c r="G7" i="6"/>
  <c r="H7" i="6"/>
  <c r="F11" i="6"/>
  <c r="G11" i="6"/>
  <c r="H11" i="6"/>
  <c r="G6" i="6"/>
  <c r="H6" i="6"/>
  <c r="F6" i="6"/>
  <c r="H8" i="6"/>
  <c r="G8" i="6"/>
  <c r="F8" i="6"/>
  <c r="H30" i="6"/>
  <c r="G30" i="6"/>
  <c r="F30" i="6"/>
  <c r="H24" i="6"/>
  <c r="G24" i="6"/>
  <c r="F24" i="6"/>
  <c r="H15" i="6"/>
  <c r="F15" i="6"/>
  <c r="G15" i="6"/>
  <c r="H5" i="6"/>
  <c r="G5" i="6"/>
  <c r="F5" i="6"/>
  <c r="F19" i="6"/>
  <c r="H19" i="6"/>
  <c r="G19" i="6"/>
  <c r="F25" i="6"/>
  <c r="H25" i="6"/>
  <c r="G25" i="6"/>
  <c r="F18" i="6"/>
  <c r="G18" i="6"/>
  <c r="H18" i="6"/>
  <c r="G26" i="6"/>
  <c r="H26" i="6"/>
  <c r="F26" i="6"/>
  <c r="F27" i="6"/>
  <c r="H27" i="6"/>
  <c r="G27" i="6"/>
  <c r="H40" i="6"/>
  <c r="F40" i="6"/>
  <c r="G40" i="6"/>
</calcChain>
</file>

<file path=xl/sharedStrings.xml><?xml version="1.0" encoding="utf-8"?>
<sst xmlns="http://schemas.openxmlformats.org/spreadsheetml/2006/main" count="452" uniqueCount="181">
  <si>
    <t>Meat</t>
  </si>
  <si>
    <t>Yield %</t>
  </si>
  <si>
    <t>Brisket</t>
  </si>
  <si>
    <t>Pork Butt</t>
  </si>
  <si>
    <t>Tri-tip</t>
  </si>
  <si>
    <t>Ingredient</t>
  </si>
  <si>
    <t>Unit</t>
  </si>
  <si>
    <t>Supplier</t>
  </si>
  <si>
    <t>Current Cost</t>
  </si>
  <si>
    <t>lb</t>
  </si>
  <si>
    <t>Brown Sugar</t>
  </si>
  <si>
    <t>Ketchup</t>
  </si>
  <si>
    <t>Butter</t>
  </si>
  <si>
    <t>Pickling salt</t>
  </si>
  <si>
    <t>Onion powder</t>
  </si>
  <si>
    <t>Chili powder</t>
  </si>
  <si>
    <t>#2 rub</t>
  </si>
  <si>
    <t>Chicken quarters</t>
  </si>
  <si>
    <t>chef supply</t>
  </si>
  <si>
    <t>per lb</t>
  </si>
  <si>
    <t>oz</t>
  </si>
  <si>
    <t>Packages/Case</t>
  </si>
  <si>
    <t xml:space="preserve">oz </t>
  </si>
  <si>
    <t>Weight</t>
  </si>
  <si>
    <t>cost</t>
  </si>
  <si>
    <t>Total</t>
  </si>
  <si>
    <t>Corn Cobbetts</t>
  </si>
  <si>
    <t>Frozen Blackberries</t>
  </si>
  <si>
    <t>Franz Hawaiian buns</t>
  </si>
  <si>
    <t>Item</t>
  </si>
  <si>
    <t>5oz tin ramekin</t>
  </si>
  <si>
    <t>Raw cost/lb</t>
  </si>
  <si>
    <t>Raw batch cost</t>
  </si>
  <si>
    <t>Finished cost/lb</t>
  </si>
  <si>
    <t>Raw Weight/lb</t>
  </si>
  <si>
    <t>Menu Item</t>
  </si>
  <si>
    <t>Type</t>
  </si>
  <si>
    <t>Main Cost</t>
  </si>
  <si>
    <t>Side 1</t>
  </si>
  <si>
    <t>Side 2</t>
  </si>
  <si>
    <t>Total Cost</t>
  </si>
  <si>
    <t>Pulled Pork Sandwich</t>
  </si>
  <si>
    <t>Sandwich</t>
  </si>
  <si>
    <t>Brisket Sandwich</t>
  </si>
  <si>
    <t>Combo</t>
  </si>
  <si>
    <t>Plate</t>
  </si>
  <si>
    <t>Blackberry Cobbler</t>
  </si>
  <si>
    <t>Dessert</t>
  </si>
  <si>
    <t>Loaded Pork Fries</t>
  </si>
  <si>
    <t>Specialty</t>
  </si>
  <si>
    <t>Finished weight/lb</t>
  </si>
  <si>
    <t>Rub Used/oz</t>
  </si>
  <si>
    <t>Rub cost</t>
  </si>
  <si>
    <t> 3 COMPARTMENT 8X8 INCH FIBER TO GO CONTAINER</t>
  </si>
  <si>
    <t>#2 Rub Sauce</t>
  </si>
  <si>
    <t>Apple cider vinegar</t>
  </si>
  <si>
    <t>Honey mustard</t>
  </si>
  <si>
    <t>Water</t>
  </si>
  <si>
    <t>#2 Rub</t>
  </si>
  <si>
    <t>BAGCRAFT 12X12 WHITE WAX GREASE RESISTANT WAX PAPER</t>
  </si>
  <si>
    <t>2 OUNCE PORTION CUP</t>
  </si>
  <si>
    <t>DART PLASTIC CLEAR LID FOR 2 OZ PORTION CUP</t>
  </si>
  <si>
    <t>Main Portion oz</t>
  </si>
  <si>
    <t>Bun Qty</t>
  </si>
  <si>
    <t>Bun Cost</t>
  </si>
  <si>
    <t>Sauce oz</t>
  </si>
  <si>
    <t>Sauce Cost</t>
  </si>
  <si>
    <t>Packaging Cost</t>
  </si>
  <si>
    <t>Side 1 Cost</t>
  </si>
  <si>
    <t>Side 2 cost</t>
  </si>
  <si>
    <t>Add ons</t>
  </si>
  <si>
    <t>Lemon juice</t>
  </si>
  <si>
    <t>Vanilla extract</t>
  </si>
  <si>
    <t>6 tins</t>
  </si>
  <si>
    <t>5oz tin for baking</t>
  </si>
  <si>
    <t>Per cup</t>
  </si>
  <si>
    <t>Sides</t>
  </si>
  <si>
    <t>French fries</t>
  </si>
  <si>
    <t>Peach Cobbler</t>
  </si>
  <si>
    <t>Molasses</t>
  </si>
  <si>
    <t>Amazon</t>
  </si>
  <si>
    <t>box</t>
  </si>
  <si>
    <t>Banana Pudding</t>
  </si>
  <si>
    <t>Coleslaw, Resers</t>
  </si>
  <si>
    <t>Potato Salad, Resers</t>
  </si>
  <si>
    <t>sauce</t>
  </si>
  <si>
    <t>Suggested Price</t>
  </si>
  <si>
    <t>Actual/Chosen Price</t>
  </si>
  <si>
    <t>Food Cost %</t>
  </si>
  <si>
    <t>Loaded pulled pork fries</t>
  </si>
  <si>
    <t>Pulled Pork Combo 1</t>
  </si>
  <si>
    <t>Pulled Pork Combo 2</t>
  </si>
  <si>
    <t>Pulled Pork Combo 3</t>
  </si>
  <si>
    <t>Pulled Pork Plate 1</t>
  </si>
  <si>
    <t>Pulled Pork Plate 2</t>
  </si>
  <si>
    <t>Pulled Pork Plate 3</t>
  </si>
  <si>
    <t>Brisket Combo 1</t>
  </si>
  <si>
    <t>Brisket Combo 2</t>
  </si>
  <si>
    <t>Brisket Combo 3</t>
  </si>
  <si>
    <t>Brisket Combo 4</t>
  </si>
  <si>
    <t>Pork Combo 1</t>
  </si>
  <si>
    <t>Pork Combo 2</t>
  </si>
  <si>
    <t>Pork Combo 3</t>
  </si>
  <si>
    <t>Brisket Plate 1</t>
  </si>
  <si>
    <t>Brisket Plate 2</t>
  </si>
  <si>
    <t>Brisket Plate 3</t>
  </si>
  <si>
    <t>Brisket Plate 4</t>
  </si>
  <si>
    <t>SOUTHERN CHAMPION SOUTHLAND FOOD TRAY #300 5.375 X 3.375 X 2 INCH</t>
  </si>
  <si>
    <t>Pork Plate 1</t>
  </si>
  <si>
    <t>Pork Plate 2</t>
  </si>
  <si>
    <t>Pork Plate 3</t>
  </si>
  <si>
    <t>Brisket combo 1</t>
  </si>
  <si>
    <t>Brisket combo 2</t>
  </si>
  <si>
    <t>Brisket combo 3</t>
  </si>
  <si>
    <t>Tri-tip plate 1</t>
  </si>
  <si>
    <t>Tri-tip plate 2</t>
  </si>
  <si>
    <t>Tri-tip plate 3</t>
  </si>
  <si>
    <t>Chicken quarters plate 1</t>
  </si>
  <si>
    <t>Chicken quarters plate 2</t>
  </si>
  <si>
    <t>Chicken quarters plate 3</t>
  </si>
  <si>
    <t>Loaded pork fries</t>
  </si>
  <si>
    <t>Macaroni and cheese</t>
  </si>
  <si>
    <t>Brisket plate 1</t>
  </si>
  <si>
    <t>Pulled Pork Combo 4</t>
  </si>
  <si>
    <t>Pulled Pork Plate 4</t>
  </si>
  <si>
    <t>ECOSYSTEMS 9x6 MFPP BLACK HINGED CONTAINER</t>
  </si>
  <si>
    <t>-</t>
  </si>
  <si>
    <t>Tri-tip Plate 1</t>
  </si>
  <si>
    <t>Tri-tip Plate 2</t>
  </si>
  <si>
    <t>Tri-tip Plate 3</t>
  </si>
  <si>
    <t>Tri-tip Plate 4</t>
  </si>
  <si>
    <t>Pork Plate 4</t>
  </si>
  <si>
    <t>Brisket combo 4</t>
  </si>
  <si>
    <t>Brisket plate 2</t>
  </si>
  <si>
    <t>Brisket plate 3</t>
  </si>
  <si>
    <t>Brisket plate 4</t>
  </si>
  <si>
    <t>Tri-tip plate 4</t>
  </si>
  <si>
    <t>Chicken quarters plate 4</t>
  </si>
  <si>
    <t>Pork Combo 4</t>
  </si>
  <si>
    <t>Gross Contribution</t>
  </si>
  <si>
    <t>Gross Margin</t>
  </si>
  <si>
    <t>5oz box</t>
  </si>
  <si>
    <t>AJM METRO REUSABLE THANK YOU T-SHIRT BAG 11.5 X 6 X 21.6</t>
  </si>
  <si>
    <t>VITAL ASSORTED CUTLERY WHITE PLASTIC HEAVY WEIGHT</t>
  </si>
  <si>
    <t>Other ingredients</t>
  </si>
  <si>
    <t>Nilla wafer</t>
  </si>
  <si>
    <t>Med cheddar, shredded</t>
  </si>
  <si>
    <t>Milk</t>
  </si>
  <si>
    <t>Sugar</t>
  </si>
  <si>
    <t>Banana pudding mix</t>
  </si>
  <si>
    <t>Baked beans</t>
  </si>
  <si>
    <t>Almond extract</t>
  </si>
  <si>
    <t>Peach cubes</t>
  </si>
  <si>
    <t>Sauce cups</t>
  </si>
  <si>
    <t>(6) case</t>
  </si>
  <si>
    <t>case</t>
  </si>
  <si>
    <t>Corn starch</t>
  </si>
  <si>
    <t>Protein</t>
  </si>
  <si>
    <t>Krusteaz pankcake mix</t>
  </si>
  <si>
    <t>Cost</t>
  </si>
  <si>
    <r>
      <t>Cost per oz/</t>
    </r>
    <r>
      <rPr>
        <sz val="12"/>
        <color theme="1"/>
        <rFont val="Georgia"/>
        <family val="1"/>
      </rPr>
      <t>ea</t>
    </r>
  </si>
  <si>
    <t>Combined</t>
  </si>
  <si>
    <t>Chicken quarters 1</t>
  </si>
  <si>
    <t>Chicken quarters 2</t>
  </si>
  <si>
    <t>Chicken quarters 3</t>
  </si>
  <si>
    <t>Chicken quarters 4</t>
  </si>
  <si>
    <t>Cost Each</t>
  </si>
  <si>
    <t>Price</t>
  </si>
  <si>
    <t>Count</t>
  </si>
  <si>
    <t>#2 Rub Sauce Cup</t>
  </si>
  <si>
    <t>Target Food Cost</t>
  </si>
  <si>
    <t>Worcestershire</t>
  </si>
  <si>
    <t>Proprietary Ingredient 1</t>
  </si>
  <si>
    <t>Proprietary Ingredient 2</t>
  </si>
  <si>
    <t>Proprietary Ingredient 3</t>
  </si>
  <si>
    <t>Proprietary Ingredient 4</t>
  </si>
  <si>
    <t>Proprietary Ingredient 5</t>
  </si>
  <si>
    <t>Proprietary Ingredient 6</t>
  </si>
  <si>
    <t>Cost per oz</t>
  </si>
  <si>
    <t>2oz Sauce Cups</t>
  </si>
  <si>
    <t>Cost Per oz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</si>
</sst>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164" formatCode="_([$$-409]* #,##0.00_);_([$$-409]* \(#,##0.00\);_([$$-409]* &quot;-&quot;??_);_(@_)"/>
    <numFmt numFmtId="165" formatCode="_(&quot;$&quot;* #,##0.0000_);_(&quot;$&quot;* \(#,##0.0000\);_(&quot;$&quot;* &quot;-&quot;????_);_(@_)"/>
  </numFmts>
  <fonts count="9" x14ac:knownFonts="1">
    <font>
      <sz val="11"/>
      <color theme="1"/>
      <name val="Aptos Narrow"/>
      <family val="2"/>
      <scheme val="minor"/>
    </font>
    <font>
      <sz val="11"/>
      <color theme="1"/>
      <name val="Georgia"/>
      <family val="1"/>
    </font>
    <font>
      <b/>
      <sz val="12"/>
      <color theme="1"/>
      <name val="Georgia"/>
      <family val="1"/>
    </font>
    <font>
      <sz val="12"/>
      <color theme="1"/>
      <name val="Georgia"/>
      <family val="1"/>
    </font>
    <font>
      <sz val="11"/>
      <color theme="1"/>
      <name val="Aptos Narrow"/>
      <family val="2"/>
      <scheme val="minor"/>
    </font>
    <font>
      <b/>
      <sz val="11"/>
      <color theme="1"/>
      <name val="Aptos Narrow"/>
      <family val="2"/>
      <scheme val="minor"/>
    </font>
    <font>
      <b/>
      <sz val="11"/>
      <color theme="1"/>
      <name val="Georgia"/>
      <family val="1"/>
    </font>
    <font>
      <sz val="11"/>
      <name val="Georgia"/>
      <family val="1"/>
    </font>
    <font>
      <sz val="8"/>
      <name val="Aptos Narrow"/>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9" tint="0.5999938962981048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style="medium">
        <color indexed="64"/>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164">
    <xf numFmtId="0" fontId="0" fillId="0" borderId="0" xfId="0"/>
    <xf numFmtId="0" fontId="1" fillId="0" borderId="0" xfId="0" applyFont="1"/>
    <xf numFmtId="0" fontId="3" fillId="2" borderId="1" xfId="0" applyFont="1" applyFill="1" applyBorder="1"/>
    <xf numFmtId="0" fontId="3" fillId="3" borderId="1" xfId="0" applyFont="1" applyFill="1" applyBorder="1"/>
    <xf numFmtId="0" fontId="1" fillId="2" borderId="1" xfId="0" applyFont="1" applyFill="1" applyBorder="1"/>
    <xf numFmtId="0" fontId="0" fillId="2" borderId="1" xfId="0" applyFill="1" applyBorder="1"/>
    <xf numFmtId="0" fontId="1" fillId="3" borderId="1" xfId="0" applyFont="1" applyFill="1" applyBorder="1"/>
    <xf numFmtId="0" fontId="0" fillId="3" borderId="1" xfId="0" applyFill="1" applyBorder="1"/>
    <xf numFmtId="164" fontId="3" fillId="3" borderId="1" xfId="0" applyNumberFormat="1" applyFont="1" applyFill="1" applyBorder="1"/>
    <xf numFmtId="164" fontId="1" fillId="3" borderId="1" xfId="0" applyNumberFormat="1" applyFont="1" applyFill="1" applyBorder="1"/>
    <xf numFmtId="0" fontId="3" fillId="2" borderId="1" xfId="0" applyFont="1" applyFill="1" applyBorder="1" applyAlignment="1">
      <alignment wrapText="1"/>
    </xf>
    <xf numFmtId="39" fontId="3" fillId="3" borderId="1" xfId="1" applyNumberFormat="1" applyFont="1" applyFill="1" applyBorder="1"/>
    <xf numFmtId="0" fontId="5" fillId="4" borderId="1" xfId="0" applyFont="1" applyFill="1" applyBorder="1"/>
    <xf numFmtId="0" fontId="0" fillId="4" borderId="1" xfId="0" applyFill="1" applyBorder="1"/>
    <xf numFmtId="0" fontId="5" fillId="4" borderId="2" xfId="0" applyFont="1" applyFill="1" applyBorder="1" applyAlignment="1">
      <alignment horizontal="center" vertical="center" wrapText="1"/>
    </xf>
    <xf numFmtId="0" fontId="5" fillId="4" borderId="2" xfId="0" applyFont="1" applyFill="1" applyBorder="1"/>
    <xf numFmtId="0" fontId="6" fillId="4" borderId="2" xfId="0" applyFont="1" applyFill="1" applyBorder="1"/>
    <xf numFmtId="0" fontId="1" fillId="4" borderId="1" xfId="0" applyFont="1" applyFill="1" applyBorder="1"/>
    <xf numFmtId="44" fontId="7" fillId="4" borderId="3" xfId="1" applyFont="1" applyFill="1" applyBorder="1"/>
    <xf numFmtId="44" fontId="7" fillId="4" borderId="1" xfId="1" applyFont="1" applyFill="1" applyBorder="1"/>
    <xf numFmtId="0" fontId="3" fillId="2" borderId="1" xfId="0" applyFont="1" applyFill="1" applyBorder="1" applyAlignment="1">
      <alignment horizontal="center"/>
    </xf>
    <xf numFmtId="0" fontId="1" fillId="2" borderId="1" xfId="0" applyFont="1" applyFill="1" applyBorder="1" applyAlignment="1">
      <alignment horizontal="center"/>
    </xf>
    <xf numFmtId="0" fontId="3" fillId="3" borderId="1" xfId="0" applyFont="1" applyFill="1" applyBorder="1" applyAlignment="1">
      <alignment horizontal="center"/>
    </xf>
    <xf numFmtId="0" fontId="1" fillId="3" borderId="1" xfId="0" applyFont="1" applyFill="1" applyBorder="1" applyAlignment="1">
      <alignment horizontal="center"/>
    </xf>
    <xf numFmtId="0" fontId="1" fillId="0" borderId="0" xfId="0" applyFont="1" applyAlignment="1">
      <alignment horizontal="center"/>
    </xf>
    <xf numFmtId="44" fontId="1" fillId="0" borderId="0" xfId="1" applyFont="1"/>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1" fillId="2" borderId="1" xfId="0" applyFont="1" applyFill="1" applyBorder="1" applyAlignment="1">
      <alignment horizontal="center" vertical="center" wrapText="1"/>
    </xf>
    <xf numFmtId="44" fontId="7" fillId="4" borderId="5" xfId="1" applyFont="1" applyFill="1" applyBorder="1"/>
    <xf numFmtId="0" fontId="6" fillId="6" borderId="1" xfId="0" applyFont="1" applyFill="1" applyBorder="1"/>
    <xf numFmtId="44" fontId="7" fillId="6" borderId="1" xfId="1" applyFont="1" applyFill="1" applyBorder="1"/>
    <xf numFmtId="0" fontId="2" fillId="5" borderId="1" xfId="0" applyFont="1" applyFill="1" applyBorder="1"/>
    <xf numFmtId="0" fontId="2" fillId="5" borderId="1" xfId="0" applyFont="1" applyFill="1" applyBorder="1" applyAlignment="1">
      <alignment horizontal="center"/>
    </xf>
    <xf numFmtId="0" fontId="2" fillId="5" borderId="1" xfId="0" applyFont="1" applyFill="1" applyBorder="1" applyAlignment="1">
      <alignment horizontal="center" wrapText="1"/>
    </xf>
    <xf numFmtId="44" fontId="0" fillId="3" borderId="1" xfId="1" applyFont="1" applyFill="1" applyBorder="1"/>
    <xf numFmtId="44" fontId="3" fillId="2" borderId="1" xfId="1" applyFont="1" applyFill="1" applyBorder="1"/>
    <xf numFmtId="0" fontId="6" fillId="4" borderId="2" xfId="0" applyFont="1" applyFill="1" applyBorder="1" applyAlignment="1">
      <alignment horizontal="center" vertical="center" wrapText="1"/>
    </xf>
    <xf numFmtId="0" fontId="1" fillId="4" borderId="3" xfId="0" applyFont="1" applyFill="1" applyBorder="1"/>
    <xf numFmtId="44" fontId="1" fillId="4" borderId="1" xfId="0" applyNumberFormat="1" applyFont="1" applyFill="1" applyBorder="1"/>
    <xf numFmtId="0" fontId="1" fillId="4" borderId="3" xfId="0" applyFont="1" applyFill="1" applyBorder="1" applyAlignment="1">
      <alignment horizontal="center" vertical="center" wrapText="1"/>
    </xf>
    <xf numFmtId="0" fontId="1" fillId="4" borderId="3" xfId="0" applyFont="1" applyFill="1" applyBorder="1" applyAlignment="1">
      <alignment horizontal="center"/>
    </xf>
    <xf numFmtId="0" fontId="1" fillId="4" borderId="1" xfId="0" applyFont="1" applyFill="1" applyBorder="1" applyAlignment="1">
      <alignment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center"/>
    </xf>
    <xf numFmtId="0" fontId="1" fillId="4" borderId="4" xfId="0" applyFont="1" applyFill="1" applyBorder="1" applyAlignment="1">
      <alignment horizontal="center" vertical="center" wrapText="1"/>
    </xf>
    <xf numFmtId="0" fontId="1" fillId="4" borderId="4" xfId="0" applyFont="1" applyFill="1" applyBorder="1" applyAlignment="1">
      <alignment horizontal="center"/>
    </xf>
    <xf numFmtId="0" fontId="1" fillId="6" borderId="1" xfId="0" applyFont="1" applyFill="1" applyBorder="1" applyAlignment="1">
      <alignment horizontal="center"/>
    </xf>
    <xf numFmtId="0" fontId="1" fillId="6" borderId="1" xfId="0" applyFont="1" applyFill="1" applyBorder="1"/>
    <xf numFmtId="44" fontId="1" fillId="6" borderId="1" xfId="0" applyNumberFormat="1" applyFont="1" applyFill="1" applyBorder="1"/>
    <xf numFmtId="0" fontId="0" fillId="0" borderId="0" xfId="0" applyAlignment="1">
      <alignment horizontal="center"/>
    </xf>
    <xf numFmtId="44" fontId="1" fillId="3" borderId="1" xfId="1" applyFont="1" applyFill="1" applyBorder="1" applyAlignment="1">
      <alignment vertical="center" wrapText="1"/>
    </xf>
    <xf numFmtId="44" fontId="1" fillId="3" borderId="1" xfId="1" applyFont="1" applyFill="1" applyBorder="1"/>
    <xf numFmtId="44" fontId="1" fillId="2" borderId="1" xfId="1" applyFont="1" applyFill="1" applyBorder="1" applyAlignment="1">
      <alignment vertical="center" wrapText="1"/>
    </xf>
    <xf numFmtId="44" fontId="1" fillId="2" borderId="1" xfId="1" applyFont="1" applyFill="1" applyBorder="1"/>
    <xf numFmtId="44" fontId="1" fillId="3" borderId="1" xfId="0" applyNumberFormat="1" applyFont="1" applyFill="1" applyBorder="1" applyAlignment="1">
      <alignment vertical="center" wrapText="1"/>
    </xf>
    <xf numFmtId="0" fontId="1" fillId="2" borderId="3" xfId="0" applyFont="1" applyFill="1" applyBorder="1" applyAlignment="1">
      <alignment vertical="center" wrapText="1"/>
    </xf>
    <xf numFmtId="0" fontId="1" fillId="3" borderId="3" xfId="0" applyFont="1" applyFill="1" applyBorder="1" applyAlignment="1">
      <alignment vertical="center" wrapText="1"/>
    </xf>
    <xf numFmtId="0" fontId="1" fillId="2" borderId="3" xfId="0" applyFont="1" applyFill="1" applyBorder="1" applyAlignment="1">
      <alignment horizontal="center" vertical="center" wrapText="1"/>
    </xf>
    <xf numFmtId="44" fontId="1" fillId="3" borderId="3" xfId="1" applyFont="1" applyFill="1" applyBorder="1" applyAlignment="1">
      <alignment vertical="center" wrapText="1"/>
    </xf>
    <xf numFmtId="0" fontId="1" fillId="3" borderId="3" xfId="0" applyFont="1" applyFill="1" applyBorder="1"/>
    <xf numFmtId="0" fontId="1" fillId="2" borderId="3" xfId="0" applyFont="1" applyFill="1" applyBorder="1"/>
    <xf numFmtId="0" fontId="6" fillId="4" borderId="6" xfId="0" applyFont="1" applyFill="1" applyBorder="1"/>
    <xf numFmtId="0" fontId="1" fillId="4" borderId="7" xfId="0" applyFont="1" applyFill="1" applyBorder="1"/>
    <xf numFmtId="0" fontId="6" fillId="4" borderId="5" xfId="0" applyFont="1" applyFill="1" applyBorder="1" applyAlignment="1">
      <alignment horizontal="center" vertical="center" wrapText="1"/>
    </xf>
    <xf numFmtId="0" fontId="6" fillId="4" borderId="5" xfId="0" applyFont="1" applyFill="1" applyBorder="1"/>
    <xf numFmtId="44" fontId="1" fillId="4" borderId="1" xfId="1" applyFont="1" applyFill="1" applyBorder="1"/>
    <xf numFmtId="44" fontId="1" fillId="4" borderId="1" xfId="1" applyFont="1" applyFill="1" applyBorder="1" applyAlignment="1">
      <alignment horizontal="center"/>
    </xf>
    <xf numFmtId="0" fontId="1" fillId="4" borderId="2" xfId="0" applyFont="1" applyFill="1" applyBorder="1"/>
    <xf numFmtId="0" fontId="1" fillId="4" borderId="2" xfId="0" applyFont="1" applyFill="1" applyBorder="1" applyAlignment="1">
      <alignment horizontal="center"/>
    </xf>
    <xf numFmtId="44" fontId="1" fillId="4" borderId="2" xfId="1" applyFont="1" applyFill="1" applyBorder="1" applyAlignment="1">
      <alignment horizontal="center"/>
    </xf>
    <xf numFmtId="44" fontId="1" fillId="4" borderId="3" xfId="0" applyNumberFormat="1" applyFont="1" applyFill="1" applyBorder="1" applyAlignment="1">
      <alignment horizontal="center"/>
    </xf>
    <xf numFmtId="44" fontId="1" fillId="4" borderId="3" xfId="0" applyNumberFormat="1" applyFont="1" applyFill="1" applyBorder="1"/>
    <xf numFmtId="0" fontId="6" fillId="4" borderId="3" xfId="0" applyFont="1" applyFill="1" applyBorder="1"/>
    <xf numFmtId="0" fontId="6" fillId="4" borderId="3" xfId="0" applyFont="1" applyFill="1" applyBorder="1" applyAlignment="1">
      <alignment horizontal="center"/>
    </xf>
    <xf numFmtId="44" fontId="1" fillId="3" borderId="3" xfId="1" applyFont="1" applyFill="1" applyBorder="1"/>
    <xf numFmtId="0" fontId="0" fillId="2" borderId="1" xfId="0" applyFill="1" applyBorder="1" applyAlignment="1">
      <alignment horizontal="center"/>
    </xf>
    <xf numFmtId="0" fontId="6" fillId="4" borderId="1" xfId="0" applyFont="1" applyFill="1" applyBorder="1"/>
    <xf numFmtId="0" fontId="6" fillId="4" borderId="8" xfId="0" applyFont="1" applyFill="1" applyBorder="1"/>
    <xf numFmtId="0" fontId="6" fillId="4" borderId="7" xfId="0" applyFont="1" applyFill="1" applyBorder="1"/>
    <xf numFmtId="44" fontId="0" fillId="6" borderId="1" xfId="1" applyFont="1" applyFill="1" applyBorder="1"/>
    <xf numFmtId="0" fontId="1" fillId="2" borderId="3" xfId="0" applyFont="1" applyFill="1" applyBorder="1" applyAlignment="1">
      <alignment wrapText="1"/>
    </xf>
    <xf numFmtId="0" fontId="1" fillId="7" borderId="1" xfId="0" applyFont="1" applyFill="1" applyBorder="1" applyAlignment="1">
      <alignment vertical="center" wrapText="1"/>
    </xf>
    <xf numFmtId="0" fontId="1" fillId="7" borderId="1" xfId="0" applyFont="1" applyFill="1" applyBorder="1"/>
    <xf numFmtId="0" fontId="6" fillId="4" borderId="9" xfId="0" applyFont="1" applyFill="1" applyBorder="1"/>
    <xf numFmtId="0" fontId="6" fillId="4" borderId="10" xfId="0" applyFont="1" applyFill="1" applyBorder="1"/>
    <xf numFmtId="0" fontId="6" fillId="4" borderId="11" xfId="0" applyFont="1" applyFill="1" applyBorder="1"/>
    <xf numFmtId="44" fontId="1" fillId="4" borderId="12" xfId="0" applyNumberFormat="1" applyFont="1" applyFill="1" applyBorder="1"/>
    <xf numFmtId="44" fontId="1" fillId="3" borderId="4" xfId="1" applyFont="1" applyFill="1" applyBorder="1" applyAlignment="1">
      <alignment vertical="center" wrapText="1"/>
    </xf>
    <xf numFmtId="0" fontId="1" fillId="2" borderId="4" xfId="0" applyFont="1" applyFill="1" applyBorder="1" applyAlignment="1">
      <alignment vertical="center" wrapText="1"/>
    </xf>
    <xf numFmtId="44" fontId="1" fillId="2" borderId="4" xfId="1" applyFont="1" applyFill="1" applyBorder="1" applyAlignment="1">
      <alignment vertical="center" wrapText="1"/>
    </xf>
    <xf numFmtId="0" fontId="1" fillId="2" borderId="4" xfId="0" applyFont="1" applyFill="1" applyBorder="1"/>
    <xf numFmtId="0" fontId="1" fillId="7" borderId="4" xfId="0" applyFont="1" applyFill="1" applyBorder="1" applyAlignment="1">
      <alignment vertical="center" wrapText="1"/>
    </xf>
    <xf numFmtId="0" fontId="1" fillId="3" borderId="4" xfId="0" applyFont="1" applyFill="1" applyBorder="1" applyAlignment="1">
      <alignment vertical="center" wrapText="1"/>
    </xf>
    <xf numFmtId="0" fontId="1" fillId="2" borderId="4" xfId="0" applyFont="1" applyFill="1" applyBorder="1" applyAlignment="1">
      <alignment horizontal="center" vertical="center" wrapText="1"/>
    </xf>
    <xf numFmtId="44" fontId="1" fillId="3" borderId="5" xfId="1" applyFont="1" applyFill="1" applyBorder="1" applyAlignment="1">
      <alignment vertical="center" wrapText="1"/>
    </xf>
    <xf numFmtId="0" fontId="1" fillId="2" borderId="5" xfId="0" applyFont="1" applyFill="1" applyBorder="1" applyAlignment="1">
      <alignment horizontal="center" vertical="center" wrapText="1"/>
    </xf>
    <xf numFmtId="0" fontId="1" fillId="2" borderId="13" xfId="0" applyFont="1" applyFill="1" applyBorder="1" applyAlignment="1">
      <alignment vertical="center" wrapText="1"/>
    </xf>
    <xf numFmtId="0" fontId="1" fillId="2" borderId="6" xfId="0" applyFont="1" applyFill="1" applyBorder="1" applyAlignment="1">
      <alignment horizontal="center" vertical="center" wrapText="1"/>
    </xf>
    <xf numFmtId="0" fontId="1" fillId="2" borderId="3" xfId="0" applyFont="1" applyFill="1" applyBorder="1" applyAlignment="1">
      <alignment horizontal="center"/>
    </xf>
    <xf numFmtId="0" fontId="1" fillId="2" borderId="1" xfId="0" applyFont="1" applyFill="1" applyBorder="1" applyAlignment="1">
      <alignment wrapText="1"/>
    </xf>
    <xf numFmtId="44" fontId="1" fillId="3" borderId="3" xfId="1" applyFont="1" applyFill="1" applyBorder="1" applyAlignment="1">
      <alignment horizontal="center"/>
    </xf>
    <xf numFmtId="8" fontId="1" fillId="2" borderId="3" xfId="0" applyNumberFormat="1" applyFont="1" applyFill="1" applyBorder="1" applyAlignment="1">
      <alignment horizontal="center"/>
    </xf>
    <xf numFmtId="44" fontId="1" fillId="2" borderId="3" xfId="0" applyNumberFormat="1" applyFont="1" applyFill="1" applyBorder="1" applyAlignment="1">
      <alignment horizontal="center"/>
    </xf>
    <xf numFmtId="10" fontId="1" fillId="3" borderId="3" xfId="0" applyNumberFormat="1" applyFont="1" applyFill="1" applyBorder="1" applyAlignment="1">
      <alignment horizontal="center"/>
    </xf>
    <xf numFmtId="10" fontId="1" fillId="2" borderId="3" xfId="0" applyNumberFormat="1" applyFont="1" applyFill="1" applyBorder="1" applyAlignment="1">
      <alignment horizontal="center"/>
    </xf>
    <xf numFmtId="44" fontId="1" fillId="3" borderId="1" xfId="1" applyFont="1" applyFill="1" applyBorder="1" applyAlignment="1">
      <alignment horizontal="center"/>
    </xf>
    <xf numFmtId="44" fontId="1" fillId="3" borderId="4" xfId="1" applyFont="1" applyFill="1" applyBorder="1" applyAlignment="1">
      <alignment horizontal="center"/>
    </xf>
    <xf numFmtId="44" fontId="1" fillId="2" borderId="3" xfId="1" applyFont="1" applyFill="1" applyBorder="1" applyAlignment="1">
      <alignment horizontal="center"/>
    </xf>
    <xf numFmtId="0" fontId="1" fillId="2" borderId="9" xfId="0" applyFont="1" applyFill="1" applyBorder="1"/>
    <xf numFmtId="44" fontId="1" fillId="4" borderId="3" xfId="1" applyFont="1" applyFill="1" applyBorder="1"/>
    <xf numFmtId="0" fontId="3" fillId="2" borderId="3" xfId="0" applyFont="1" applyFill="1" applyBorder="1"/>
    <xf numFmtId="44" fontId="3" fillId="2" borderId="3" xfId="1" applyFont="1" applyFill="1" applyBorder="1"/>
    <xf numFmtId="0" fontId="3" fillId="3" borderId="3" xfId="0" applyFont="1" applyFill="1" applyBorder="1"/>
    <xf numFmtId="0" fontId="3" fillId="2" borderId="3" xfId="0" applyFont="1" applyFill="1" applyBorder="1" applyAlignment="1">
      <alignment horizontal="center"/>
    </xf>
    <xf numFmtId="0" fontId="3" fillId="3" borderId="3" xfId="0" applyFont="1" applyFill="1" applyBorder="1" applyAlignment="1">
      <alignment horizontal="center"/>
    </xf>
    <xf numFmtId="164" fontId="3" fillId="3" borderId="3" xfId="0" applyNumberFormat="1" applyFont="1" applyFill="1" applyBorder="1"/>
    <xf numFmtId="0" fontId="2" fillId="2" borderId="3" xfId="0" applyFont="1" applyFill="1" applyBorder="1"/>
    <xf numFmtId="0" fontId="2" fillId="2" borderId="3" xfId="0" applyFont="1" applyFill="1" applyBorder="1" applyAlignment="1">
      <alignment horizontal="center"/>
    </xf>
    <xf numFmtId="165" fontId="2" fillId="2" borderId="3" xfId="1" applyNumberFormat="1" applyFont="1" applyFill="1" applyBorder="1"/>
    <xf numFmtId="0" fontId="2" fillId="3" borderId="3" xfId="0" applyFont="1" applyFill="1" applyBorder="1"/>
    <xf numFmtId="0" fontId="2" fillId="3" borderId="3" xfId="0" applyFont="1" applyFill="1" applyBorder="1" applyAlignment="1">
      <alignment horizontal="center" wrapText="1"/>
    </xf>
    <xf numFmtId="0" fontId="1" fillId="5" borderId="2" xfId="0" applyFont="1" applyFill="1" applyBorder="1"/>
    <xf numFmtId="0" fontId="1" fillId="5" borderId="2" xfId="0" applyFont="1" applyFill="1" applyBorder="1" applyAlignment="1">
      <alignment horizontal="center"/>
    </xf>
    <xf numFmtId="0" fontId="6" fillId="5" borderId="2" xfId="0" applyFont="1" applyFill="1" applyBorder="1"/>
    <xf numFmtId="0" fontId="6" fillId="5" borderId="2" xfId="0" applyFont="1" applyFill="1" applyBorder="1" applyAlignment="1">
      <alignment horizontal="center"/>
    </xf>
    <xf numFmtId="0" fontId="6" fillId="5" borderId="2" xfId="0" applyFont="1" applyFill="1" applyBorder="1" applyAlignment="1">
      <alignment horizontal="center" wrapText="1"/>
    </xf>
    <xf numFmtId="0" fontId="6" fillId="5" borderId="1" xfId="0" applyFont="1" applyFill="1" applyBorder="1" applyAlignment="1">
      <alignment horizontal="center" vertical="center" wrapText="1"/>
    </xf>
    <xf numFmtId="44" fontId="1" fillId="2" borderId="3" xfId="0" applyNumberFormat="1" applyFont="1" applyFill="1" applyBorder="1"/>
    <xf numFmtId="0" fontId="1" fillId="3" borderId="1" xfId="0" applyFont="1" applyFill="1" applyBorder="1" applyAlignment="1">
      <alignment wrapText="1"/>
    </xf>
    <xf numFmtId="44" fontId="1" fillId="3" borderId="1" xfId="0" applyNumberFormat="1" applyFont="1" applyFill="1" applyBorder="1"/>
    <xf numFmtId="0" fontId="1" fillId="4" borderId="8" xfId="0" applyFont="1" applyFill="1" applyBorder="1"/>
    <xf numFmtId="0" fontId="6" fillId="0" borderId="1" xfId="0" applyFont="1" applyBorder="1"/>
    <xf numFmtId="0" fontId="6" fillId="0" borderId="1" xfId="0" applyFont="1" applyBorder="1" applyAlignment="1">
      <alignment wrapText="1"/>
    </xf>
    <xf numFmtId="0" fontId="6" fillId="0" borderId="1" xfId="0" applyFont="1" applyBorder="1" applyAlignment="1">
      <alignment horizontal="center" wrapText="1"/>
    </xf>
    <xf numFmtId="44" fontId="1" fillId="5" borderId="1" xfId="1" applyFont="1" applyFill="1" applyBorder="1" applyAlignment="1">
      <alignment vertical="center" wrapText="1"/>
    </xf>
    <xf numFmtId="0" fontId="1" fillId="5" borderId="14" xfId="0" applyFont="1" applyFill="1" applyBorder="1"/>
    <xf numFmtId="0" fontId="6" fillId="5" borderId="2" xfId="0" applyFont="1" applyFill="1" applyBorder="1" applyAlignment="1">
      <alignment vertical="center" wrapText="1"/>
    </xf>
    <xf numFmtId="0" fontId="1" fillId="5" borderId="2" xfId="0" applyFont="1" applyFill="1" applyBorder="1" applyAlignment="1">
      <alignment vertical="center" wrapText="1"/>
    </xf>
    <xf numFmtId="0" fontId="1" fillId="5" borderId="2" xfId="0" applyFont="1" applyFill="1" applyBorder="1" applyAlignment="1">
      <alignment horizontal="center" vertical="center" wrapText="1"/>
    </xf>
    <xf numFmtId="44" fontId="1" fillId="5" borderId="2" xfId="1" applyFont="1" applyFill="1" applyBorder="1" applyAlignment="1">
      <alignment vertical="center" wrapText="1"/>
    </xf>
    <xf numFmtId="44" fontId="1" fillId="5" borderId="2" xfId="0" applyNumberFormat="1" applyFont="1" applyFill="1" applyBorder="1" applyAlignment="1">
      <alignment vertical="center" wrapText="1"/>
    </xf>
    <xf numFmtId="44" fontId="1" fillId="5" borderId="2" xfId="1" applyFont="1" applyFill="1" applyBorder="1"/>
    <xf numFmtId="0" fontId="0" fillId="5" borderId="2" xfId="0" applyFill="1" applyBorder="1"/>
    <xf numFmtId="44" fontId="3" fillId="2" borderId="1" xfId="1" applyFont="1" applyFill="1" applyBorder="1" applyAlignment="1">
      <alignment horizontal="center" vertical="center"/>
    </xf>
    <xf numFmtId="44" fontId="1" fillId="2" borderId="1" xfId="1" applyFont="1" applyFill="1" applyBorder="1" applyAlignment="1">
      <alignment horizontal="center" vertical="center"/>
    </xf>
    <xf numFmtId="165" fontId="2" fillId="5" borderId="1" xfId="1" applyNumberFormat="1" applyFont="1" applyFill="1" applyBorder="1" applyAlignment="1">
      <alignment horizontal="center" vertical="center" wrapText="1"/>
    </xf>
    <xf numFmtId="0" fontId="1" fillId="3" borderId="3" xfId="0" applyFont="1" applyFill="1" applyBorder="1" applyAlignment="1">
      <alignment horizontal="center"/>
    </xf>
    <xf numFmtId="164" fontId="1" fillId="3" borderId="3" xfId="0" applyNumberFormat="1" applyFont="1" applyFill="1" applyBorder="1"/>
    <xf numFmtId="44" fontId="3" fillId="2" borderId="3" xfId="1" applyFont="1" applyFill="1" applyBorder="1" applyAlignment="1">
      <alignment horizontal="center" vertical="center"/>
    </xf>
    <xf numFmtId="0" fontId="2" fillId="5" borderId="2" xfId="0" applyFont="1" applyFill="1" applyBorder="1"/>
    <xf numFmtId="0" fontId="3" fillId="5" borderId="2" xfId="0" applyFont="1" applyFill="1" applyBorder="1"/>
    <xf numFmtId="0" fontId="3" fillId="5" borderId="2" xfId="0" applyFont="1" applyFill="1" applyBorder="1" applyAlignment="1">
      <alignment horizontal="center"/>
    </xf>
    <xf numFmtId="164" fontId="3" fillId="5" borderId="2" xfId="0" applyNumberFormat="1" applyFont="1" applyFill="1" applyBorder="1"/>
    <xf numFmtId="44" fontId="3" fillId="5" borderId="2" xfId="1" applyFont="1" applyFill="1" applyBorder="1"/>
    <xf numFmtId="164" fontId="1" fillId="2" borderId="1" xfId="0" applyNumberFormat="1" applyFont="1" applyFill="1" applyBorder="1"/>
    <xf numFmtId="9" fontId="1" fillId="2" borderId="1" xfId="0" applyNumberFormat="1" applyFont="1" applyFill="1" applyBorder="1"/>
    <xf numFmtId="0" fontId="1" fillId="3" borderId="1" xfId="2" applyNumberFormat="1" applyFont="1" applyFill="1" applyBorder="1" applyAlignment="1">
      <alignment horizontal="right"/>
    </xf>
    <xf numFmtId="44" fontId="1" fillId="3" borderId="1" xfId="0" applyNumberFormat="1" applyFont="1" applyFill="1" applyBorder="1" applyAlignment="1">
      <alignment horizontal="center"/>
    </xf>
    <xf numFmtId="44" fontId="1" fillId="2" borderId="1" xfId="0" applyNumberFormat="1" applyFont="1" applyFill="1" applyBorder="1"/>
    <xf numFmtId="9" fontId="1" fillId="2" borderId="1" xfId="2" applyFont="1" applyFill="1" applyBorder="1"/>
    <xf numFmtId="9" fontId="5" fillId="0" borderId="1" xfId="2" applyFont="1" applyBorder="1"/>
    <xf numFmtId="0" fontId="0" fillId="6" borderId="1" xfId="0" applyFill="1" applyBorder="1"/>
    <xf numFmtId="44" fontId="7" fillId="6" borderId="8" xfId="1" applyFont="1" applyFill="1" applyBorder="1"/>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9525</xdr:colOff>
      <xdr:row>1</xdr:row>
      <xdr:rowOff>142875</xdr:rowOff>
    </xdr:from>
    <xdr:to>
      <xdr:col>14</xdr:col>
      <xdr:colOff>504825</xdr:colOff>
      <xdr:row>28</xdr:row>
      <xdr:rowOff>95250</xdr:rowOff>
    </xdr:to>
    <xdr:sp macro="" textlink="">
      <xdr:nvSpPr>
        <xdr:cNvPr id="8" name="TextBox 1">
          <a:extLst>
            <a:ext uri="{FF2B5EF4-FFF2-40B4-BE49-F238E27FC236}">
              <a16:creationId xmlns:a16="http://schemas.microsoft.com/office/drawing/2014/main" id="{495ED57F-1227-74A5-3AB2-C16D286C64BD}"/>
            </a:ext>
          </a:extLst>
        </xdr:cNvPr>
        <xdr:cNvSpPr txBox="1"/>
      </xdr:nvSpPr>
      <xdr:spPr>
        <a:xfrm>
          <a:off x="619125" y="333375"/>
          <a:ext cx="8420100" cy="5095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buNone/>
          </a:pPr>
          <a:r>
            <a:rPr lang="en-US" b="1">
              <a:latin typeface="Georgia" panose="02040502050405020303" pitchFamily="18" charset="0"/>
            </a:rPr>
            <a:t>BBQ Food Truck Cost Analysis</a:t>
          </a:r>
        </a:p>
        <a:p>
          <a:pPr>
            <a:buNone/>
          </a:pPr>
          <a:endParaRPr lang="en-US" b="1">
            <a:latin typeface="Georgia" panose="02040502050405020303" pitchFamily="18" charset="0"/>
          </a:endParaRPr>
        </a:p>
        <a:p>
          <a:pPr>
            <a:buNone/>
          </a:pPr>
          <a:r>
            <a:rPr lang="en-US" b="1">
              <a:latin typeface="Georgia" panose="02040502050405020303" pitchFamily="18" charset="0"/>
            </a:rPr>
            <a:t>Purpose</a:t>
          </a:r>
          <a:br>
            <a:rPr lang="en-US">
              <a:latin typeface="Georgia" panose="02040502050405020303" pitchFamily="18" charset="0"/>
            </a:rPr>
          </a:br>
          <a:r>
            <a:rPr lang="en-US">
              <a:latin typeface="Georgia" panose="02040502050405020303" pitchFamily="18" charset="0"/>
            </a:rPr>
            <a:t>This workbook is a dynamic cost-analysis model designed to estimate the cost and profitability of menu items for a hypothetical BBQ food truck. Ingredient prices, recipes, meat preparation yields, portion sizes, sides, and packaging costs are linked so changes to source costs automatically flow through to finished menu-item costs and profitability calculations.</a:t>
          </a:r>
        </a:p>
        <a:p>
          <a:pPr>
            <a:buNone/>
          </a:pPr>
          <a:r>
            <a:rPr lang="en-US" b="1">
              <a:latin typeface="Georgia" panose="02040502050405020303" pitchFamily="18" charset="0"/>
            </a:rPr>
            <a:t>How to Use This Workbook</a:t>
          </a:r>
          <a:endParaRPr lang="en-US">
            <a:latin typeface="Georgia" panose="02040502050405020303" pitchFamily="18" charset="0"/>
          </a:endParaRPr>
        </a:p>
        <a:p>
          <a:pPr marL="342900" lvl="0" indent="-342900">
            <a:buFont typeface="+mj-lt"/>
            <a:buAutoNum type="arabicPeriod"/>
          </a:pPr>
          <a:r>
            <a:rPr lang="en-US" b="1">
              <a:latin typeface="Georgia" panose="02040502050405020303" pitchFamily="18" charset="0"/>
            </a:rPr>
            <a:t>Ingredients List</a:t>
          </a:r>
          <a:r>
            <a:rPr lang="en-US">
              <a:latin typeface="Georgia" panose="02040502050405020303" pitchFamily="18" charset="0"/>
            </a:rPr>
            <a:t> — Enter or update ingredient purchase quantities and prices. Unit costs are calculated for use throughout the workbook. </a:t>
          </a:r>
        </a:p>
        <a:p>
          <a:pPr marL="342900" lvl="0" indent="-342900">
            <a:buFont typeface="+mj-lt"/>
            <a:buAutoNum type="arabicPeriod"/>
          </a:pPr>
          <a:r>
            <a:rPr lang="en-US" b="1">
              <a:latin typeface="Georgia" panose="02040502050405020303" pitchFamily="18" charset="0"/>
            </a:rPr>
            <a:t>Meat Recipes</a:t>
          </a:r>
          <a:r>
            <a:rPr lang="en-US">
              <a:latin typeface="Georgia" panose="02040502050405020303" pitchFamily="18" charset="0"/>
            </a:rPr>
            <a:t> — Calculates the batch and unit cost of prepared recipes such as BBQ rub and house BBQ sauce. Recipe costs update automatically when ingredient prices change. </a:t>
          </a:r>
        </a:p>
        <a:p>
          <a:pPr marL="342900" lvl="0" indent="-342900">
            <a:buFont typeface="+mj-lt"/>
            <a:buAutoNum type="arabicPeriod"/>
          </a:pPr>
          <a:r>
            <a:rPr lang="en-US" b="1">
              <a:latin typeface="Georgia" panose="02040502050405020303" pitchFamily="18" charset="0"/>
            </a:rPr>
            <a:t>Meat Prep</a:t>
          </a:r>
          <a:r>
            <a:rPr lang="en-US">
              <a:latin typeface="Georgia" panose="02040502050405020303" pitchFamily="18" charset="0"/>
            </a:rPr>
            <a:t> — Converts raw meat costs into finished usable costs using preparation yield and rub usage. Update raw weight, expected yield, and seasoning usage as needed. </a:t>
          </a:r>
        </a:p>
        <a:p>
          <a:pPr marL="342900" lvl="0" indent="-342900">
            <a:buFont typeface="+mj-lt"/>
            <a:buAutoNum type="arabicPeriod"/>
          </a:pPr>
          <a:r>
            <a:rPr lang="en-US" b="1">
              <a:latin typeface="Georgia" panose="02040502050405020303" pitchFamily="18" charset="0"/>
            </a:rPr>
            <a:t>Sides / Other Recipes</a:t>
          </a:r>
          <a:r>
            <a:rPr lang="en-US">
              <a:latin typeface="Georgia" panose="02040502050405020303" pitchFamily="18" charset="0"/>
            </a:rPr>
            <a:t> — Calculates batch and serving costs for sides and other prepared menu components. </a:t>
          </a:r>
        </a:p>
        <a:p>
          <a:pPr marL="342900" lvl="0" indent="-342900">
            <a:buFont typeface="+mj-lt"/>
            <a:buAutoNum type="arabicPeriod"/>
          </a:pPr>
          <a:r>
            <a:rPr lang="en-US" b="1">
              <a:latin typeface="Georgia" panose="02040502050405020303" pitchFamily="18" charset="0"/>
            </a:rPr>
            <a:t>Packaging</a:t>
          </a:r>
          <a:r>
            <a:rPr lang="en-US">
              <a:latin typeface="Georgia" panose="02040502050405020303" pitchFamily="18" charset="0"/>
            </a:rPr>
            <a:t> — Tracks disposable packaging costs, including takeout containers, sandwich wrap, sauce containers, and dessert packaging. </a:t>
          </a:r>
        </a:p>
        <a:p>
          <a:pPr marL="342900" lvl="0" indent="-342900">
            <a:buFont typeface="+mj-lt"/>
            <a:buAutoNum type="arabicPeriod"/>
          </a:pPr>
          <a:r>
            <a:rPr lang="en-US" b="1">
              <a:latin typeface="Georgia" panose="02040502050405020303" pitchFamily="18" charset="0"/>
            </a:rPr>
            <a:t>Menu Items</a:t>
          </a:r>
          <a:r>
            <a:rPr lang="en-US">
              <a:latin typeface="Georgia" panose="02040502050405020303" pitchFamily="18" charset="0"/>
            </a:rPr>
            <a:t> — Combines prepared meat, ingredients, sides, sauces, and packaging to calculate the total cost of finished menu items. Dropdown selections allow different side combinations to be evaluated. </a:t>
          </a:r>
        </a:p>
        <a:p>
          <a:pPr marL="342900" lvl="0" indent="-342900">
            <a:buFont typeface="+mj-lt"/>
            <a:buAutoNum type="arabicPeriod"/>
          </a:pPr>
          <a:r>
            <a:rPr lang="en-US" b="1">
              <a:latin typeface="Georgia" panose="02040502050405020303" pitchFamily="18" charset="0"/>
            </a:rPr>
            <a:t>Cost Analysis</a:t>
          </a:r>
          <a:r>
            <a:rPr lang="en-US">
              <a:latin typeface="Georgia" panose="02040502050405020303" pitchFamily="18" charset="0"/>
            </a:rPr>
            <a:t> — Compares finished menu-item costs with selling prices to evaluate food cost, gross profit, and margin. </a:t>
          </a:r>
        </a:p>
        <a:p>
          <a:pPr>
            <a:buNone/>
          </a:pPr>
          <a:r>
            <a:rPr lang="en-US" b="1">
              <a:latin typeface="Georgia" panose="02040502050405020303" pitchFamily="18" charset="0"/>
            </a:rPr>
            <a:t>Model Assumptions</a:t>
          </a:r>
          <a:br>
            <a:rPr lang="en-US">
              <a:latin typeface="Georgia" panose="02040502050405020303" pitchFamily="18" charset="0"/>
            </a:rPr>
          </a:br>
          <a:r>
            <a:rPr lang="en-US">
              <a:latin typeface="Georgia" panose="02040502050405020303" pitchFamily="18" charset="0"/>
            </a:rPr>
            <a:t>This workbook was developed as a portfolio case study using a combination of observed purchase prices, tested recipes, and modeled operating assumptions. Where actual operating data was unavailable, reasonable assumptions were used for serving sizes, meat yields, seasoning usage, menu configuration, and other production variables. These assumptions are intended for analytical demonstration and can be replaced with actual operating data without rebuilding the model.</a:t>
          </a:r>
        </a:p>
        <a:p>
          <a:pPr>
            <a:buNone/>
          </a:pPr>
          <a:r>
            <a:rPr lang="en-US" b="1">
              <a:latin typeface="Georgia" panose="02040502050405020303" pitchFamily="18" charset="0"/>
            </a:rPr>
            <a:t>Model Design</a:t>
          </a:r>
          <a:br>
            <a:rPr lang="en-US">
              <a:latin typeface="Georgia" panose="02040502050405020303" pitchFamily="18" charset="0"/>
            </a:rPr>
          </a:br>
          <a:r>
            <a:rPr lang="en-US">
              <a:latin typeface="Georgia" panose="02040502050405020303" pitchFamily="18" charset="0"/>
            </a:rPr>
            <a:t>The workbook follows a linked cost structure:</a:t>
          </a:r>
        </a:p>
        <a:p>
          <a:pPr>
            <a:buNone/>
          </a:pPr>
          <a:r>
            <a:rPr lang="en-US" b="1">
              <a:latin typeface="Georgia" panose="02040502050405020303" pitchFamily="18" charset="0"/>
            </a:rPr>
            <a:t>Purchase Cost → Unit Cost → Recipe/Preparation Cost → Portion Cost → Menu Item Cost → Profitability Analysis</a:t>
          </a:r>
          <a:endParaRPr lang="en-US">
            <a:latin typeface="Georgia" panose="02040502050405020303" pitchFamily="18" charset="0"/>
          </a:endParaRPr>
        </a:p>
        <a:p>
          <a:pPr>
            <a:buNone/>
          </a:pPr>
          <a:r>
            <a:rPr lang="en-US">
              <a:latin typeface="Georgia" panose="02040502050405020303" pitchFamily="18" charset="0"/>
            </a:rPr>
            <a:t>Source prices should be updated at their point of entry rather than manually changing calculated downstream values. Formulas and lookup relationships are designed to propagate those changes throughout the model automatically.</a:t>
          </a:r>
        </a:p>
        <a:p>
          <a:endParaRPr lang="en-US" sz="1100">
            <a:latin typeface="Georgia" panose="02040502050405020303"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595312</xdr:colOff>
      <xdr:row>2</xdr:row>
      <xdr:rowOff>4761</xdr:rowOff>
    </xdr:from>
    <xdr:to>
      <xdr:col>11</xdr:col>
      <xdr:colOff>19050</xdr:colOff>
      <xdr:row>7</xdr:row>
      <xdr:rowOff>190499</xdr:rowOff>
    </xdr:to>
    <xdr:sp macro="" textlink="">
      <xdr:nvSpPr>
        <xdr:cNvPr id="2" name="TextBox 1">
          <a:extLst>
            <a:ext uri="{FF2B5EF4-FFF2-40B4-BE49-F238E27FC236}">
              <a16:creationId xmlns:a16="http://schemas.microsoft.com/office/drawing/2014/main" id="{6C9E7939-AC0E-9413-55EF-0824F82D3103}"/>
            </a:ext>
          </a:extLst>
        </xdr:cNvPr>
        <xdr:cNvSpPr txBox="1"/>
      </xdr:nvSpPr>
      <xdr:spPr>
        <a:xfrm>
          <a:off x="5176837" y="385761"/>
          <a:ext cx="2471738" cy="11477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atin typeface="Georgia" panose="02040502050405020303" pitchFamily="18" charset="0"/>
            </a:rPr>
            <a:t>Note: Select ingredient names have been redacted to protect proprietary recipe information. Cost and quantity data have been retained to preserve the functionality and analytical integrity of the model.</a:t>
          </a:r>
          <a:endParaRPr lang="en-US" sz="1100">
            <a:latin typeface="Georgia" panose="02040502050405020303" pitchFamily="18"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72323-0E08-4814-A454-20A1483B7854}">
  <dimension ref="A1"/>
  <sheetViews>
    <sheetView workbookViewId="0">
      <selection activeCell="B2" sqref="B2:B7"/>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A718-AC6E-4732-9CCE-6BC0ED4E178D}">
  <dimension ref="B2:H49"/>
  <sheetViews>
    <sheetView topLeftCell="A5" workbookViewId="0">
      <selection activeCell="B15" sqref="B15"/>
    </sheetView>
  </sheetViews>
  <sheetFormatPr defaultColWidth="9.140625" defaultRowHeight="14.25" x14ac:dyDescent="0.2"/>
  <cols>
    <col min="1" max="1" width="9.140625" style="1"/>
    <col min="2" max="2" width="26.5703125" style="1" customWidth="1"/>
    <col min="3" max="3" width="14" style="1" customWidth="1"/>
    <col min="4" max="4" width="14" style="24" customWidth="1"/>
    <col min="5" max="5" width="13.140625" style="24" customWidth="1"/>
    <col min="6" max="6" width="12.7109375" style="1" customWidth="1"/>
    <col min="7" max="7" width="16.5703125" style="1" customWidth="1"/>
    <col min="8" max="8" width="12" style="25" customWidth="1"/>
    <col min="9" max="16384" width="9.140625" style="1"/>
  </cols>
  <sheetData>
    <row r="2" spans="2:8" ht="30" x14ac:dyDescent="0.2">
      <c r="B2" s="32" t="s">
        <v>5</v>
      </c>
      <c r="C2" s="32" t="s">
        <v>23</v>
      </c>
      <c r="D2" s="33" t="s">
        <v>6</v>
      </c>
      <c r="E2" s="34" t="s">
        <v>21</v>
      </c>
      <c r="F2" s="32" t="s">
        <v>7</v>
      </c>
      <c r="G2" s="32" t="s">
        <v>8</v>
      </c>
      <c r="H2" s="146" t="s">
        <v>160</v>
      </c>
    </row>
    <row r="3" spans="2:8" ht="15" x14ac:dyDescent="0.2">
      <c r="B3" s="117" t="s">
        <v>157</v>
      </c>
      <c r="C3" s="120"/>
      <c r="D3" s="118"/>
      <c r="E3" s="121"/>
      <c r="F3" s="117"/>
      <c r="G3" s="120"/>
      <c r="H3" s="119"/>
    </row>
    <row r="4" spans="2:8" ht="15" x14ac:dyDescent="0.2">
      <c r="B4" s="111" t="s">
        <v>2</v>
      </c>
      <c r="C4" s="113">
        <v>15</v>
      </c>
      <c r="D4" s="114" t="s">
        <v>19</v>
      </c>
      <c r="E4" s="115">
        <v>1</v>
      </c>
      <c r="F4" s="111" t="s">
        <v>18</v>
      </c>
      <c r="G4" s="116">
        <v>4.99</v>
      </c>
      <c r="H4" s="112"/>
    </row>
    <row r="5" spans="2:8" ht="15" x14ac:dyDescent="0.2">
      <c r="B5" s="2" t="s">
        <v>3</v>
      </c>
      <c r="C5" s="3">
        <v>20</v>
      </c>
      <c r="D5" s="20" t="s">
        <v>19</v>
      </c>
      <c r="E5" s="22">
        <v>1</v>
      </c>
      <c r="F5" s="2" t="s">
        <v>18</v>
      </c>
      <c r="G5" s="8">
        <v>2.09</v>
      </c>
      <c r="H5" s="36"/>
    </row>
    <row r="6" spans="2:8" ht="15" x14ac:dyDescent="0.2">
      <c r="B6" s="2" t="s">
        <v>4</v>
      </c>
      <c r="C6" s="3">
        <v>15</v>
      </c>
      <c r="D6" s="20" t="s">
        <v>19</v>
      </c>
      <c r="E6" s="22">
        <v>1</v>
      </c>
      <c r="F6" s="2" t="s">
        <v>18</v>
      </c>
      <c r="G6" s="8">
        <v>6.79</v>
      </c>
      <c r="H6" s="36"/>
    </row>
    <row r="7" spans="2:8" ht="15" x14ac:dyDescent="0.2">
      <c r="B7" s="2" t="s">
        <v>17</v>
      </c>
      <c r="C7" s="3">
        <v>40</v>
      </c>
      <c r="D7" s="20" t="s">
        <v>9</v>
      </c>
      <c r="E7" s="22">
        <v>1</v>
      </c>
      <c r="F7" s="2" t="s">
        <v>18</v>
      </c>
      <c r="G7" s="8">
        <v>37.19</v>
      </c>
      <c r="H7" s="36"/>
    </row>
    <row r="8" spans="2:8" ht="15" x14ac:dyDescent="0.2">
      <c r="B8" s="2"/>
      <c r="C8" s="3"/>
      <c r="D8" s="20"/>
      <c r="E8" s="22"/>
      <c r="F8" s="2"/>
      <c r="G8" s="8"/>
      <c r="H8" s="36"/>
    </row>
    <row r="9" spans="2:8" ht="15.75" thickBot="1" x14ac:dyDescent="0.25">
      <c r="B9" s="150" t="s">
        <v>144</v>
      </c>
      <c r="C9" s="151"/>
      <c r="D9" s="152"/>
      <c r="E9" s="152"/>
      <c r="F9" s="151"/>
      <c r="G9" s="153"/>
      <c r="H9" s="154"/>
    </row>
    <row r="10" spans="2:8" ht="15" x14ac:dyDescent="0.2">
      <c r="B10" s="61" t="s">
        <v>151</v>
      </c>
      <c r="C10" s="60">
        <v>16</v>
      </c>
      <c r="D10" s="99" t="s">
        <v>20</v>
      </c>
      <c r="E10" s="147">
        <v>1</v>
      </c>
      <c r="F10" s="111" t="s">
        <v>18</v>
      </c>
      <c r="G10" s="148">
        <v>7.39</v>
      </c>
      <c r="H10" s="149">
        <f>IF(D10="lb",G10/(C10*16),G10/C10)</f>
        <v>0.46187499999999998</v>
      </c>
    </row>
    <row r="11" spans="2:8" ht="15" x14ac:dyDescent="0.2">
      <c r="B11" s="4" t="s">
        <v>55</v>
      </c>
      <c r="C11" s="6">
        <v>128</v>
      </c>
      <c r="D11" s="21" t="s">
        <v>20</v>
      </c>
      <c r="E11" s="23">
        <v>1</v>
      </c>
      <c r="F11" s="2" t="s">
        <v>18</v>
      </c>
      <c r="G11" s="9">
        <v>5.89</v>
      </c>
      <c r="H11" s="144">
        <f>IF(D11="lb",G11/(C11*16),G11/C11)</f>
        <v>4.6015624999999998E-2</v>
      </c>
    </row>
    <row r="12" spans="2:8" ht="15" x14ac:dyDescent="0.2">
      <c r="B12" s="2" t="s">
        <v>150</v>
      </c>
      <c r="C12" s="3">
        <v>117</v>
      </c>
      <c r="D12" s="20" t="s">
        <v>22</v>
      </c>
      <c r="E12" s="22">
        <v>6</v>
      </c>
      <c r="F12" s="2" t="s">
        <v>18</v>
      </c>
      <c r="G12" s="8">
        <v>53.19</v>
      </c>
      <c r="H12" s="144">
        <f>G12/(C12*E12)</f>
        <v>7.5769230769230769E-2</v>
      </c>
    </row>
    <row r="13" spans="2:8" x14ac:dyDescent="0.2">
      <c r="B13" s="4" t="s">
        <v>149</v>
      </c>
      <c r="C13" s="6">
        <v>1</v>
      </c>
      <c r="D13" s="21" t="s">
        <v>81</v>
      </c>
      <c r="E13" s="23">
        <v>1</v>
      </c>
      <c r="F13" s="4"/>
      <c r="G13" s="52">
        <v>1.97</v>
      </c>
      <c r="H13" s="145">
        <f>IF(D13="lb",G13/(C13*16),G13/C13)</f>
        <v>1.97</v>
      </c>
    </row>
    <row r="14" spans="2:8" ht="15" x14ac:dyDescent="0.2">
      <c r="B14" s="4" t="s">
        <v>176</v>
      </c>
      <c r="C14" s="6">
        <v>5</v>
      </c>
      <c r="D14" s="21" t="s">
        <v>20</v>
      </c>
      <c r="E14" s="23">
        <v>1</v>
      </c>
      <c r="F14" s="2" t="s">
        <v>18</v>
      </c>
      <c r="G14" s="9">
        <v>8.7899999999999991</v>
      </c>
      <c r="H14" s="144">
        <f>IF(D14="lb",G14/(C14*16),G14/C14)</f>
        <v>1.7579999999999998</v>
      </c>
    </row>
    <row r="15" spans="2:8" ht="15" x14ac:dyDescent="0.2">
      <c r="B15" s="2" t="s">
        <v>173</v>
      </c>
      <c r="C15" s="3">
        <v>18</v>
      </c>
      <c r="D15" s="20" t="s">
        <v>20</v>
      </c>
      <c r="E15" s="22">
        <v>1</v>
      </c>
      <c r="F15" s="2" t="s">
        <v>18</v>
      </c>
      <c r="G15" s="8">
        <v>25.69</v>
      </c>
      <c r="H15" s="144">
        <f>IF(D15="lb",G15/(C15*16),G15/C15)</f>
        <v>1.4272222222222224</v>
      </c>
    </row>
    <row r="16" spans="2:8" ht="15" x14ac:dyDescent="0.2">
      <c r="B16" s="2" t="s">
        <v>10</v>
      </c>
      <c r="C16" s="3">
        <v>32</v>
      </c>
      <c r="D16" s="20" t="s">
        <v>9</v>
      </c>
      <c r="E16" s="22">
        <v>32</v>
      </c>
      <c r="F16" s="2" t="s">
        <v>18</v>
      </c>
      <c r="G16" s="8">
        <v>55.89</v>
      </c>
      <c r="H16" s="144">
        <f>G16/(C16*16)</f>
        <v>0.10916015625</v>
      </c>
    </row>
    <row r="17" spans="2:8" ht="15" x14ac:dyDescent="0.2">
      <c r="B17" s="2" t="s">
        <v>12</v>
      </c>
      <c r="C17" s="3">
        <v>30</v>
      </c>
      <c r="D17" s="20" t="s">
        <v>9</v>
      </c>
      <c r="E17" s="22">
        <v>30</v>
      </c>
      <c r="F17" s="2" t="s">
        <v>18</v>
      </c>
      <c r="G17" s="8">
        <v>68.989999999999995</v>
      </c>
      <c r="H17" s="144">
        <f>IF(D17="lb",G17/(C17*16),G17/C17)</f>
        <v>0.14372916666666666</v>
      </c>
    </row>
    <row r="18" spans="2:8" x14ac:dyDescent="0.2">
      <c r="B18" s="4" t="s">
        <v>175</v>
      </c>
      <c r="C18" s="6">
        <v>8</v>
      </c>
      <c r="D18" s="21" t="s">
        <v>20</v>
      </c>
      <c r="E18" s="23">
        <v>1</v>
      </c>
      <c r="F18" s="4"/>
      <c r="G18" s="52">
        <v>7.99</v>
      </c>
      <c r="H18" s="145">
        <f>IF(D18="lb",G18/(C18*16),G18/C18)</f>
        <v>0.99875000000000003</v>
      </c>
    </row>
    <row r="19" spans="2:8" ht="15" x14ac:dyDescent="0.2">
      <c r="B19" s="2" t="s">
        <v>15</v>
      </c>
      <c r="C19" s="3">
        <v>18</v>
      </c>
      <c r="D19" s="20" t="str">
        <f>D14</f>
        <v>oz</v>
      </c>
      <c r="E19" s="22">
        <v>1</v>
      </c>
      <c r="F19" s="2" t="s">
        <v>18</v>
      </c>
      <c r="G19" s="8">
        <v>13.79</v>
      </c>
      <c r="H19" s="144">
        <f>IF(D19="lb",G19/(C19*16),G19/C19)</f>
        <v>0.76611111111111108</v>
      </c>
    </row>
    <row r="20" spans="2:8" x14ac:dyDescent="0.2">
      <c r="B20" s="4" t="s">
        <v>83</v>
      </c>
      <c r="C20" s="6">
        <v>112</v>
      </c>
      <c r="D20" s="21" t="s">
        <v>20</v>
      </c>
      <c r="E20" s="23">
        <v>1</v>
      </c>
      <c r="F20" s="4" t="s">
        <v>18</v>
      </c>
      <c r="G20" s="52">
        <v>18.79</v>
      </c>
      <c r="H20" s="145">
        <f>IF(D20="lb",G20/(C20*16),G20/C20)</f>
        <v>0.16776785714285714</v>
      </c>
    </row>
    <row r="21" spans="2:8" ht="15" x14ac:dyDescent="0.2">
      <c r="B21" s="2" t="s">
        <v>26</v>
      </c>
      <c r="C21" s="3">
        <v>144</v>
      </c>
      <c r="D21" s="20" t="s">
        <v>155</v>
      </c>
      <c r="E21" s="22" t="s">
        <v>154</v>
      </c>
      <c r="F21" s="2" t="s">
        <v>18</v>
      </c>
      <c r="G21" s="8">
        <v>42.19</v>
      </c>
      <c r="H21" s="144">
        <f>SUM(G21/C21)</f>
        <v>0.29298611111111111</v>
      </c>
    </row>
    <row r="22" spans="2:8" ht="15" x14ac:dyDescent="0.2">
      <c r="B22" s="4" t="s">
        <v>156</v>
      </c>
      <c r="C22" s="6">
        <v>16</v>
      </c>
      <c r="D22" s="21" t="s">
        <v>20</v>
      </c>
      <c r="E22" s="23">
        <v>1</v>
      </c>
      <c r="F22" s="2" t="s">
        <v>18</v>
      </c>
      <c r="G22" s="9">
        <v>2.79</v>
      </c>
      <c r="H22" s="144">
        <f>IF(D22="lb",G22/(C22*16),G22/C22)</f>
        <v>0.174375</v>
      </c>
    </row>
    <row r="23" spans="2:8" ht="15" x14ac:dyDescent="0.2">
      <c r="B23" s="2" t="s">
        <v>28</v>
      </c>
      <c r="C23" s="3"/>
      <c r="D23" s="20">
        <v>12</v>
      </c>
      <c r="E23" s="22">
        <v>1</v>
      </c>
      <c r="F23" s="2" t="s">
        <v>18</v>
      </c>
      <c r="G23" s="8">
        <v>4.99</v>
      </c>
      <c r="H23" s="144">
        <f>SUM(G23/D23)</f>
        <v>0.41583333333333333</v>
      </c>
    </row>
    <row r="24" spans="2:8" ht="15" x14ac:dyDescent="0.2">
      <c r="B24" s="10" t="s">
        <v>77</v>
      </c>
      <c r="C24" s="3">
        <v>4.5</v>
      </c>
      <c r="D24" s="20" t="s">
        <v>9</v>
      </c>
      <c r="E24" s="22">
        <v>6</v>
      </c>
      <c r="F24" s="2" t="s">
        <v>18</v>
      </c>
      <c r="G24" s="8">
        <v>23.59</v>
      </c>
      <c r="H24" s="144">
        <f>IF(D24="lb",G24/(C24*E24*16),G24/C24)</f>
        <v>5.4606481481481478E-2</v>
      </c>
    </row>
    <row r="25" spans="2:8" ht="15" x14ac:dyDescent="0.2">
      <c r="B25" s="4" t="s">
        <v>27</v>
      </c>
      <c r="C25" s="3">
        <v>5</v>
      </c>
      <c r="D25" s="20" t="s">
        <v>9</v>
      </c>
      <c r="E25" s="22">
        <v>1</v>
      </c>
      <c r="F25" s="2" t="s">
        <v>18</v>
      </c>
      <c r="G25" s="8">
        <v>19.59</v>
      </c>
      <c r="H25" s="144">
        <f t="shared" ref="H25:H43" si="0">IF(D25="lb",G25/(C25*16),G25/C25)</f>
        <v>0.24487500000000001</v>
      </c>
    </row>
    <row r="26" spans="2:8" ht="15" x14ac:dyDescent="0.2">
      <c r="B26" s="2" t="s">
        <v>172</v>
      </c>
      <c r="C26" s="3">
        <v>26</v>
      </c>
      <c r="D26" s="20" t="s">
        <v>20</v>
      </c>
      <c r="E26" s="22">
        <v>1</v>
      </c>
      <c r="F26" s="2" t="s">
        <v>18</v>
      </c>
      <c r="G26" s="8">
        <v>23.39</v>
      </c>
      <c r="H26" s="144">
        <f t="shared" si="0"/>
        <v>0.89961538461538459</v>
      </c>
    </row>
    <row r="27" spans="2:8" ht="15" x14ac:dyDescent="0.2">
      <c r="B27" s="4" t="s">
        <v>56</v>
      </c>
      <c r="C27" s="6">
        <v>13</v>
      </c>
      <c r="D27" s="21" t="s">
        <v>20</v>
      </c>
      <c r="E27" s="23">
        <v>1</v>
      </c>
      <c r="F27" s="2" t="s">
        <v>18</v>
      </c>
      <c r="G27" s="9">
        <v>4.49</v>
      </c>
      <c r="H27" s="144">
        <f t="shared" si="0"/>
        <v>0.3453846153846154</v>
      </c>
    </row>
    <row r="28" spans="2:8" ht="15" x14ac:dyDescent="0.2">
      <c r="B28" s="2" t="s">
        <v>11</v>
      </c>
      <c r="C28" s="3">
        <v>114</v>
      </c>
      <c r="D28" s="20" t="s">
        <v>20</v>
      </c>
      <c r="E28" s="22">
        <v>1</v>
      </c>
      <c r="F28" s="2" t="s">
        <v>18</v>
      </c>
      <c r="G28" s="8">
        <v>13.79</v>
      </c>
      <c r="H28" s="144">
        <f t="shared" si="0"/>
        <v>0.12096491228070175</v>
      </c>
    </row>
    <row r="29" spans="2:8" ht="15" x14ac:dyDescent="0.2">
      <c r="B29" s="4" t="s">
        <v>158</v>
      </c>
      <c r="C29" s="6">
        <v>5</v>
      </c>
      <c r="D29" s="21" t="s">
        <v>9</v>
      </c>
      <c r="E29" s="23">
        <v>1</v>
      </c>
      <c r="F29" s="2" t="s">
        <v>18</v>
      </c>
      <c r="G29" s="9">
        <v>7.39</v>
      </c>
      <c r="H29" s="144">
        <f t="shared" si="0"/>
        <v>9.2374999999999999E-2</v>
      </c>
    </row>
    <row r="30" spans="2:8" ht="15" x14ac:dyDescent="0.2">
      <c r="B30" s="4" t="s">
        <v>71</v>
      </c>
      <c r="C30" s="6">
        <v>32</v>
      </c>
      <c r="D30" s="21" t="s">
        <v>20</v>
      </c>
      <c r="E30" s="23">
        <v>1</v>
      </c>
      <c r="F30" s="2" t="s">
        <v>18</v>
      </c>
      <c r="G30" s="52">
        <v>2.39</v>
      </c>
      <c r="H30" s="145">
        <f t="shared" si="0"/>
        <v>7.4687500000000004E-2</v>
      </c>
    </row>
    <row r="31" spans="2:8" x14ac:dyDescent="0.2">
      <c r="B31" s="4" t="s">
        <v>121</v>
      </c>
      <c r="C31" s="6">
        <v>40</v>
      </c>
      <c r="D31" s="21" t="s">
        <v>20</v>
      </c>
      <c r="E31" s="23">
        <v>1</v>
      </c>
      <c r="F31" s="4" t="s">
        <v>18</v>
      </c>
      <c r="G31" s="52">
        <v>13.79</v>
      </c>
      <c r="H31" s="145">
        <f t="shared" si="0"/>
        <v>0.34475</v>
      </c>
    </row>
    <row r="32" spans="2:8" x14ac:dyDescent="0.2">
      <c r="B32" s="4" t="s">
        <v>146</v>
      </c>
      <c r="C32" s="6">
        <v>40</v>
      </c>
      <c r="D32" s="21" t="s">
        <v>20</v>
      </c>
      <c r="E32" s="23">
        <v>1</v>
      </c>
      <c r="F32" s="4" t="s">
        <v>18</v>
      </c>
      <c r="G32" s="52">
        <v>13.79</v>
      </c>
      <c r="H32" s="145">
        <f t="shared" si="0"/>
        <v>0.34475</v>
      </c>
    </row>
    <row r="33" spans="2:8" x14ac:dyDescent="0.2">
      <c r="B33" s="4" t="s">
        <v>147</v>
      </c>
      <c r="C33" s="6">
        <v>256</v>
      </c>
      <c r="D33" s="21" t="s">
        <v>20</v>
      </c>
      <c r="E33" s="23">
        <v>1</v>
      </c>
      <c r="F33" s="4" t="s">
        <v>18</v>
      </c>
      <c r="G33" s="52">
        <v>7.79</v>
      </c>
      <c r="H33" s="145">
        <f t="shared" si="0"/>
        <v>3.04296875E-2</v>
      </c>
    </row>
    <row r="34" spans="2:8" x14ac:dyDescent="0.2">
      <c r="B34" s="4" t="s">
        <v>79</v>
      </c>
      <c r="C34" s="6">
        <v>15</v>
      </c>
      <c r="D34" s="21" t="s">
        <v>20</v>
      </c>
      <c r="E34" s="23">
        <v>1</v>
      </c>
      <c r="F34" s="4" t="s">
        <v>80</v>
      </c>
      <c r="G34" s="52">
        <v>14.99</v>
      </c>
      <c r="H34" s="145">
        <f t="shared" si="0"/>
        <v>0.9993333333333333</v>
      </c>
    </row>
    <row r="35" spans="2:8" x14ac:dyDescent="0.2">
      <c r="B35" s="4" t="s">
        <v>145</v>
      </c>
      <c r="C35" s="6">
        <v>14</v>
      </c>
      <c r="D35" s="21" t="s">
        <v>81</v>
      </c>
      <c r="E35" s="23">
        <v>1</v>
      </c>
      <c r="F35" s="4"/>
      <c r="G35" s="52">
        <v>5.28</v>
      </c>
      <c r="H35" s="145">
        <f t="shared" si="0"/>
        <v>0.37714285714285717</v>
      </c>
    </row>
    <row r="36" spans="2:8" ht="15" x14ac:dyDescent="0.2">
      <c r="B36" s="2" t="s">
        <v>14</v>
      </c>
      <c r="C36" s="3">
        <v>18</v>
      </c>
      <c r="D36" s="20" t="str">
        <f>D31</f>
        <v>oz</v>
      </c>
      <c r="E36" s="22">
        <v>1</v>
      </c>
      <c r="F36" s="2" t="s">
        <v>18</v>
      </c>
      <c r="G36" s="8">
        <v>13.09</v>
      </c>
      <c r="H36" s="144">
        <f t="shared" si="0"/>
        <v>0.72722222222222221</v>
      </c>
    </row>
    <row r="37" spans="2:8" ht="15" x14ac:dyDescent="0.2">
      <c r="B37" s="2" t="s">
        <v>174</v>
      </c>
      <c r="C37" s="3">
        <v>5.25</v>
      </c>
      <c r="D37" s="20" t="s">
        <v>9</v>
      </c>
      <c r="E37" s="22">
        <v>1</v>
      </c>
      <c r="F37" s="2" t="s">
        <v>18</v>
      </c>
      <c r="G37" s="11">
        <v>60.79</v>
      </c>
      <c r="H37" s="144">
        <f t="shared" si="0"/>
        <v>0.72369047619047622</v>
      </c>
    </row>
    <row r="38" spans="2:8" ht="15" x14ac:dyDescent="0.2">
      <c r="B38" s="4" t="s">
        <v>152</v>
      </c>
      <c r="C38" s="6">
        <v>5</v>
      </c>
      <c r="D38" s="21" t="s">
        <v>9</v>
      </c>
      <c r="E38" s="23">
        <v>1</v>
      </c>
      <c r="F38" s="2" t="s">
        <v>18</v>
      </c>
      <c r="G38" s="9">
        <v>15.59</v>
      </c>
      <c r="H38" s="144">
        <f t="shared" si="0"/>
        <v>0.19487499999999999</v>
      </c>
    </row>
    <row r="39" spans="2:8" ht="15" x14ac:dyDescent="0.2">
      <c r="B39" s="2" t="s">
        <v>13</v>
      </c>
      <c r="C39" s="3">
        <v>4</v>
      </c>
      <c r="D39" s="20" t="s">
        <v>9</v>
      </c>
      <c r="E39" s="22">
        <v>1</v>
      </c>
      <c r="F39" s="2" t="s">
        <v>18</v>
      </c>
      <c r="G39" s="8">
        <v>3.39</v>
      </c>
      <c r="H39" s="144">
        <f t="shared" si="0"/>
        <v>5.2968750000000002E-2</v>
      </c>
    </row>
    <row r="40" spans="2:8" x14ac:dyDescent="0.2">
      <c r="B40" s="4" t="s">
        <v>84</v>
      </c>
      <c r="C40" s="6">
        <v>128</v>
      </c>
      <c r="D40" s="21" t="s">
        <v>20</v>
      </c>
      <c r="E40" s="23">
        <v>1</v>
      </c>
      <c r="F40" s="4" t="s">
        <v>18</v>
      </c>
      <c r="G40" s="52">
        <v>15.69</v>
      </c>
      <c r="H40" s="145">
        <f t="shared" si="0"/>
        <v>0.122578125</v>
      </c>
    </row>
    <row r="41" spans="2:8" ht="15" x14ac:dyDescent="0.2">
      <c r="B41" s="4" t="s">
        <v>177</v>
      </c>
      <c r="C41" s="3">
        <v>13</v>
      </c>
      <c r="D41" s="20" t="str">
        <f>D36</f>
        <v>oz</v>
      </c>
      <c r="E41" s="22">
        <v>1</v>
      </c>
      <c r="F41" s="2" t="s">
        <v>18</v>
      </c>
      <c r="G41" s="8">
        <v>13.39</v>
      </c>
      <c r="H41" s="144">
        <f t="shared" si="0"/>
        <v>1.03</v>
      </c>
    </row>
    <row r="42" spans="2:8" ht="15" x14ac:dyDescent="0.2">
      <c r="B42" s="4" t="s">
        <v>148</v>
      </c>
      <c r="C42" s="6">
        <v>5</v>
      </c>
      <c r="D42" s="21" t="s">
        <v>9</v>
      </c>
      <c r="E42" s="23">
        <v>1</v>
      </c>
      <c r="F42" s="2" t="s">
        <v>18</v>
      </c>
      <c r="G42" s="9">
        <v>12.89</v>
      </c>
      <c r="H42" s="144">
        <f t="shared" si="0"/>
        <v>0.16112500000000002</v>
      </c>
    </row>
    <row r="43" spans="2:8" ht="15" x14ac:dyDescent="0.2">
      <c r="B43" s="4" t="s">
        <v>72</v>
      </c>
      <c r="C43" s="6">
        <v>16</v>
      </c>
      <c r="D43" s="21" t="s">
        <v>20</v>
      </c>
      <c r="E43" s="23">
        <v>1</v>
      </c>
      <c r="F43" s="2" t="s">
        <v>18</v>
      </c>
      <c r="G43" s="52">
        <v>5.49</v>
      </c>
      <c r="H43" s="145">
        <f t="shared" si="0"/>
        <v>0.34312500000000001</v>
      </c>
    </row>
    <row r="44" spans="2:8" x14ac:dyDescent="0.2">
      <c r="B44" s="4" t="s">
        <v>57</v>
      </c>
      <c r="C44" s="6"/>
      <c r="D44" s="21"/>
      <c r="E44" s="23"/>
      <c r="F44" s="4"/>
      <c r="G44" s="52">
        <v>0</v>
      </c>
      <c r="H44" s="145">
        <v>0</v>
      </c>
    </row>
    <row r="45" spans="2:8" ht="15" x14ac:dyDescent="0.2">
      <c r="B45" s="4" t="s">
        <v>171</v>
      </c>
      <c r="C45" s="6">
        <v>128</v>
      </c>
      <c r="D45" s="21" t="s">
        <v>20</v>
      </c>
      <c r="E45" s="23">
        <v>1</v>
      </c>
      <c r="F45" s="2" t="s">
        <v>18</v>
      </c>
      <c r="G45" s="9">
        <v>28.59</v>
      </c>
      <c r="H45" s="144">
        <f>IF(D45="lb",G45/(C45*16),G45/C45)</f>
        <v>0.223359375</v>
      </c>
    </row>
    <row r="46" spans="2:8" ht="15" x14ac:dyDescent="0.2">
      <c r="B46" s="2"/>
      <c r="C46" s="3"/>
      <c r="D46" s="20"/>
      <c r="E46" s="22"/>
      <c r="F46" s="2"/>
      <c r="G46" s="8"/>
      <c r="H46" s="36"/>
    </row>
    <row r="47" spans="2:8" x14ac:dyDescent="0.2">
      <c r="B47" s="4"/>
      <c r="C47" s="6"/>
      <c r="D47" s="21"/>
      <c r="E47" s="23"/>
      <c r="F47" s="4"/>
      <c r="G47" s="6"/>
      <c r="H47" s="54"/>
    </row>
    <row r="48" spans="2:8" x14ac:dyDescent="0.2">
      <c r="B48" s="4"/>
      <c r="C48" s="6"/>
      <c r="D48" s="21"/>
      <c r="E48" s="23"/>
      <c r="F48" s="4"/>
      <c r="G48" s="6"/>
      <c r="H48" s="54"/>
    </row>
    <row r="49" spans="2:8" x14ac:dyDescent="0.2">
      <c r="B49" s="4"/>
      <c r="C49" s="6"/>
      <c r="D49" s="21"/>
      <c r="E49" s="23"/>
      <c r="F49" s="4"/>
      <c r="G49" s="6"/>
      <c r="H49" s="54"/>
    </row>
  </sheetData>
  <sortState xmlns:xlrd2="http://schemas.microsoft.com/office/spreadsheetml/2017/richdata2" ref="B10:H47">
    <sortCondition ref="B10:B47"/>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CE12F-F878-4B13-A637-0DACF87D0CD9}">
  <dimension ref="B2:J9"/>
  <sheetViews>
    <sheetView workbookViewId="0">
      <selection activeCell="I3" sqref="I3:I6"/>
    </sheetView>
  </sheetViews>
  <sheetFormatPr defaultRowHeight="15" x14ac:dyDescent="0.25"/>
  <cols>
    <col min="2" max="2" width="16.85546875" customWidth="1"/>
    <col min="3" max="4" width="13.5703125" customWidth="1"/>
    <col min="5" max="5" width="15.28515625" customWidth="1"/>
    <col min="7" max="7" width="12.28515625" customWidth="1"/>
    <col min="8" max="9" width="10.28515625" customWidth="1"/>
    <col min="10" max="10" width="21.85546875" customWidth="1"/>
  </cols>
  <sheetData>
    <row r="2" spans="2:10" ht="34.5" customHeight="1" x14ac:dyDescent="0.25">
      <c r="B2" s="132" t="s">
        <v>0</v>
      </c>
      <c r="C2" s="133" t="s">
        <v>34</v>
      </c>
      <c r="D2" s="132" t="s">
        <v>31</v>
      </c>
      <c r="E2" s="134" t="s">
        <v>32</v>
      </c>
      <c r="F2" s="132" t="s">
        <v>1</v>
      </c>
      <c r="G2" s="133" t="s">
        <v>50</v>
      </c>
      <c r="H2" s="133" t="s">
        <v>51</v>
      </c>
      <c r="I2" s="132" t="s">
        <v>52</v>
      </c>
      <c r="J2" s="132" t="s">
        <v>33</v>
      </c>
    </row>
    <row r="3" spans="2:10" x14ac:dyDescent="0.25">
      <c r="B3" s="4" t="s">
        <v>2</v>
      </c>
      <c r="C3" s="6">
        <v>15</v>
      </c>
      <c r="D3" s="155">
        <f>_xlfn.LET( _xlpm.item,B3, _xlpm.unit,TRIM(_xlfn.XLOOKUP(_xlpm.item,Ingredients!$B:$B,Ingredients!$D:$D,"")), _xlpm.weight,_xlfn.XLOOKUP(_xlpm.item,Ingredients!$B:$B,Ingredients!$C:$C,""), _xlpm.cost,_xlfn.XLOOKUP(_xlpm.item,Ingredients!$B:$B,Ingredients!$G:$G,""), IF(_xlpm.unit="per lb",_xlpm.cost,IF(_xlpm.unit="lb",_xlpm.cost/_xlpm.weight,"")) )</f>
        <v>4.99</v>
      </c>
      <c r="E3" s="52">
        <f>SUM(C3*D3)</f>
        <v>74.850000000000009</v>
      </c>
      <c r="F3" s="156">
        <v>0.6</v>
      </c>
      <c r="G3" s="157">
        <f>SUM(C3*F3)</f>
        <v>9</v>
      </c>
      <c r="H3" s="21">
        <v>8</v>
      </c>
      <c r="I3" s="158">
        <f>H3*'Meat Recipes'!$F$16</f>
        <v>1.9712764416535851</v>
      </c>
      <c r="J3" s="159">
        <f>SUM((E3+I3)/G3)</f>
        <v>8.5356973824059548</v>
      </c>
    </row>
    <row r="4" spans="2:10" x14ac:dyDescent="0.25">
      <c r="B4" s="4" t="s">
        <v>3</v>
      </c>
      <c r="C4" s="6">
        <v>20</v>
      </c>
      <c r="D4" s="155">
        <f>_xlfn.LET( _xlpm.item,B4, _xlpm.unit,TRIM(_xlfn.XLOOKUP(_xlpm.item,Ingredients!$B:$B,Ingredients!$D:$D,"")), _xlpm.weight,_xlfn.XLOOKUP(_xlpm.item,Ingredients!$B:$B,Ingredients!$C:$C,""), _xlpm.cost,_xlfn.XLOOKUP(_xlpm.item,Ingredients!$B:$B,Ingredients!$G:$G,""), IF(_xlpm.unit="per lb",_xlpm.cost,IF(_xlpm.unit="lb",_xlpm.cost/_xlpm.weight,"")) )</f>
        <v>2.09</v>
      </c>
      <c r="E4" s="52">
        <f t="shared" ref="E4:E6" si="0">SUM(C4*D4)</f>
        <v>41.8</v>
      </c>
      <c r="F4" s="156">
        <v>0.68</v>
      </c>
      <c r="G4" s="157">
        <f t="shared" ref="G4:G6" si="1">SUM(C4*F4)</f>
        <v>13.600000000000001</v>
      </c>
      <c r="H4" s="21">
        <v>6</v>
      </c>
      <c r="I4" s="158">
        <f>H4*'Meat Recipes'!$F$16</f>
        <v>1.4784573312401887</v>
      </c>
      <c r="J4" s="159">
        <f t="shared" ref="J4:J6" si="2">SUM((E4+I4)/G4)</f>
        <v>3.1822395096500133</v>
      </c>
    </row>
    <row r="5" spans="2:10" x14ac:dyDescent="0.25">
      <c r="B5" s="4" t="s">
        <v>4</v>
      </c>
      <c r="C5" s="6">
        <v>15</v>
      </c>
      <c r="D5" s="155">
        <f>_xlfn.LET( _xlpm.item,B5, _xlpm.unit,TRIM(_xlfn.XLOOKUP(_xlpm.item,Ingredients!$B:$B,Ingredients!$D:$D,"")), _xlpm.weight,_xlfn.XLOOKUP(_xlpm.item,Ingredients!$B:$B,Ingredients!$C:$C,""), _xlpm.cost,_xlfn.XLOOKUP(_xlpm.item,Ingredients!$B:$B,Ingredients!$G:$G,""), IF(_xlpm.unit="per lb",_xlpm.cost,IF(_xlpm.unit="lb",_xlpm.cost/_xlpm.weight,"")) )</f>
        <v>6.79</v>
      </c>
      <c r="E5" s="52">
        <f t="shared" si="0"/>
        <v>101.85</v>
      </c>
      <c r="F5" s="160">
        <v>0.75</v>
      </c>
      <c r="G5" s="157">
        <f t="shared" si="1"/>
        <v>11.25</v>
      </c>
      <c r="H5" s="21">
        <v>2</v>
      </c>
      <c r="I5" s="158">
        <f>H5*'Meat Recipes'!$F$16</f>
        <v>0.49281911041339627</v>
      </c>
      <c r="J5" s="159">
        <f t="shared" si="2"/>
        <v>9.0971394764811908</v>
      </c>
    </row>
    <row r="6" spans="2:10" x14ac:dyDescent="0.25">
      <c r="B6" s="4" t="s">
        <v>17</v>
      </c>
      <c r="C6" s="6">
        <v>40</v>
      </c>
      <c r="D6" s="155">
        <f>_xlfn.LET( _xlpm.item,B6, _xlpm.unit,TRIM(_xlfn.XLOOKUP(_xlpm.item,Ingredients!$B:$B,Ingredients!$D:$D,"")), _xlpm.weight,_xlfn.XLOOKUP(_xlpm.item,Ingredients!$B:$B,Ingredients!$C:$C,""), _xlpm.cost,_xlfn.XLOOKUP(_xlpm.item,Ingredients!$B:$B,Ingredients!$G:$G,""), IF(_xlpm.unit="per lb",_xlpm.cost,IF(_xlpm.unit="lb",_xlpm.cost/_xlpm.weight,"")) )</f>
        <v>0.92974999999999997</v>
      </c>
      <c r="E6" s="52">
        <f t="shared" si="0"/>
        <v>37.19</v>
      </c>
      <c r="F6" s="160">
        <v>1</v>
      </c>
      <c r="G6" s="157">
        <f t="shared" si="1"/>
        <v>40</v>
      </c>
      <c r="H6" s="21">
        <v>13</v>
      </c>
      <c r="I6" s="158">
        <f>H6*'Meat Recipes'!$F$16</f>
        <v>3.2033242176870758</v>
      </c>
      <c r="J6" s="159">
        <f t="shared" si="2"/>
        <v>1.0098331054421767</v>
      </c>
    </row>
    <row r="7" spans="2:10" x14ac:dyDescent="0.25">
      <c r="B7" s="1"/>
      <c r="C7" s="1"/>
      <c r="D7" s="1"/>
      <c r="E7" s="1"/>
      <c r="F7" s="1"/>
      <c r="G7" s="1"/>
      <c r="H7" s="1"/>
      <c r="I7" s="1"/>
      <c r="J7" s="1"/>
    </row>
    <row r="8" spans="2:10" x14ac:dyDescent="0.25">
      <c r="B8" s="1"/>
      <c r="C8" s="1"/>
      <c r="D8" s="1"/>
      <c r="E8" s="1"/>
      <c r="F8" s="1"/>
      <c r="G8" s="1"/>
      <c r="H8" s="1"/>
      <c r="I8" s="1"/>
      <c r="J8" s="1"/>
    </row>
    <row r="9" spans="2:10" x14ac:dyDescent="0.25">
      <c r="B9" s="1"/>
      <c r="C9" s="1"/>
      <c r="D9" s="1"/>
      <c r="E9" s="1"/>
      <c r="F9" s="1"/>
      <c r="G9" s="1"/>
      <c r="H9" s="1"/>
      <c r="I9" s="1"/>
      <c r="J9"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39EC0-2F02-4D05-AD49-16740806F0EB}">
  <dimension ref="C3:J28"/>
  <sheetViews>
    <sheetView topLeftCell="A6" workbookViewId="0">
      <selection activeCell="F27" sqref="F27"/>
    </sheetView>
  </sheetViews>
  <sheetFormatPr defaultRowHeight="15" x14ac:dyDescent="0.25"/>
  <cols>
    <col min="2" max="2" width="9.85546875" customWidth="1"/>
    <col min="3" max="3" width="24.42578125" customWidth="1"/>
    <col min="6" max="6" width="9.5703125" bestFit="1" customWidth="1"/>
  </cols>
  <sheetData>
    <row r="3" spans="3:10" x14ac:dyDescent="0.25">
      <c r="C3" s="12" t="s">
        <v>16</v>
      </c>
      <c r="D3" s="13"/>
      <c r="E3" s="13"/>
      <c r="F3" s="13"/>
    </row>
    <row r="4" spans="3:10" ht="15.75" thickBot="1" x14ac:dyDescent="0.3">
      <c r="C4" s="14" t="s">
        <v>5</v>
      </c>
      <c r="D4" s="15" t="s">
        <v>23</v>
      </c>
      <c r="E4" s="15" t="s">
        <v>6</v>
      </c>
      <c r="F4" s="16" t="s">
        <v>24</v>
      </c>
    </row>
    <row r="5" spans="3:10" x14ac:dyDescent="0.25">
      <c r="C5" s="17" t="s">
        <v>10</v>
      </c>
      <c r="D5" s="40">
        <v>64</v>
      </c>
      <c r="E5" s="41" t="s">
        <v>20</v>
      </c>
      <c r="F5" s="18">
        <f>IFERROR(IF(E5="lb",D5*16,D5)*_xlfn.XLOOKUP(C5,Ingredients!$B:$B,Ingredients!$H:$H),"")</f>
        <v>6.9862500000000001</v>
      </c>
    </row>
    <row r="6" spans="3:10" x14ac:dyDescent="0.25">
      <c r="C6" s="42" t="s">
        <v>13</v>
      </c>
      <c r="D6" s="43">
        <v>8</v>
      </c>
      <c r="E6" s="41" t="s">
        <v>20</v>
      </c>
      <c r="F6" s="18">
        <f>IFERROR(IF(E6="lb",D6*16,D6)*_xlfn.XLOOKUP(C6,Ingredients!$B:$B,Ingredients!$H:$H),"")</f>
        <v>0.42375000000000002</v>
      </c>
    </row>
    <row r="7" spans="3:10" x14ac:dyDescent="0.25">
      <c r="C7" s="42" t="s">
        <v>14</v>
      </c>
      <c r="D7" s="43">
        <v>4</v>
      </c>
      <c r="E7" s="44" t="s">
        <v>20</v>
      </c>
      <c r="F7" s="18">
        <f>IFERROR(IF(E7="lb",D7*16,D7)*_xlfn.XLOOKUP(C7,Ingredients!$B:$B,Ingredients!$H:$H),"")</f>
        <v>2.9088888888888889</v>
      </c>
      <c r="J7" s="1"/>
    </row>
    <row r="8" spans="3:10" x14ac:dyDescent="0.25">
      <c r="C8" s="42" t="s">
        <v>15</v>
      </c>
      <c r="D8" s="43">
        <v>3</v>
      </c>
      <c r="E8" s="44" t="s">
        <v>20</v>
      </c>
      <c r="F8" s="18">
        <f>IFERROR(IF(E8="lb",D8*16,D8)*_xlfn.XLOOKUP(C8,Ingredients!$B:$B,Ingredients!$H:$H),"")</f>
        <v>2.2983333333333333</v>
      </c>
    </row>
    <row r="9" spans="3:10" ht="28.5" x14ac:dyDescent="0.25">
      <c r="C9" s="42" t="s">
        <v>172</v>
      </c>
      <c r="D9" s="43">
        <v>2.5</v>
      </c>
      <c r="E9" s="44" t="s">
        <v>20</v>
      </c>
      <c r="F9" s="18">
        <f>IFERROR(IF(E9="lb",D9*16,D9)*_xlfn.XLOOKUP(C9,Ingredients!$B:$B,Ingredients!$H:$H),"")</f>
        <v>2.2490384615384613</v>
      </c>
    </row>
    <row r="10" spans="3:10" ht="28.5" x14ac:dyDescent="0.25">
      <c r="C10" s="42" t="s">
        <v>173</v>
      </c>
      <c r="D10" s="43">
        <v>2</v>
      </c>
      <c r="E10" s="44" t="s">
        <v>20</v>
      </c>
      <c r="F10" s="18">
        <f>IFERROR(IF(E10="lb",D10*16,D10)*_xlfn.XLOOKUP(C10,Ingredients!$B:$B,Ingredients!$H:$H),"")</f>
        <v>2.8544444444444448</v>
      </c>
    </row>
    <row r="11" spans="3:10" ht="28.5" x14ac:dyDescent="0.25">
      <c r="C11" s="42" t="s">
        <v>174</v>
      </c>
      <c r="D11" s="43">
        <v>2</v>
      </c>
      <c r="E11" s="44" t="s">
        <v>20</v>
      </c>
      <c r="F11" s="18">
        <f>IFERROR(IF(E11="lb",D11*16,D11)*_xlfn.XLOOKUP(C11,Ingredients!$B:$B,Ingredients!$H:$H),"")</f>
        <v>1.4473809523809524</v>
      </c>
    </row>
    <row r="12" spans="3:10" ht="28.5" x14ac:dyDescent="0.25">
      <c r="C12" s="42" t="s">
        <v>175</v>
      </c>
      <c r="D12" s="43">
        <v>1</v>
      </c>
      <c r="E12" s="44" t="s">
        <v>20</v>
      </c>
      <c r="F12" s="18">
        <f>IFERROR(IF(E12="lb",D12*16,D12)*_xlfn.XLOOKUP(C12,Ingredients!$B:$B,Ingredients!$H:$H),"")</f>
        <v>0.99875000000000003</v>
      </c>
    </row>
    <row r="13" spans="3:10" ht="28.5" x14ac:dyDescent="0.25">
      <c r="C13" s="42" t="s">
        <v>176</v>
      </c>
      <c r="D13" s="43">
        <v>0.5</v>
      </c>
      <c r="E13" s="44" t="s">
        <v>20</v>
      </c>
      <c r="F13" s="18">
        <f>IFERROR(IF(E13="lb",D13*16,D13)*_xlfn.XLOOKUP(C13,Ingredients!$B:$B,Ingredients!$H:$H),"")</f>
        <v>0.87899999999999989</v>
      </c>
    </row>
    <row r="14" spans="3:10" ht="28.5" x14ac:dyDescent="0.25">
      <c r="C14" s="42" t="s">
        <v>177</v>
      </c>
      <c r="D14" s="45">
        <v>0.5</v>
      </c>
      <c r="E14" s="46" t="s">
        <v>20</v>
      </c>
      <c r="F14" s="29">
        <f>IFERROR(IF(E14="lb",D14*16,D14)*_xlfn.XLOOKUP(C14,Ingredients!$B:$B,Ingredients!$H:$H),"")</f>
        <v>0.51500000000000001</v>
      </c>
    </row>
    <row r="15" spans="3:10" x14ac:dyDescent="0.25">
      <c r="C15" s="30" t="s">
        <v>25</v>
      </c>
      <c r="D15" s="47">
        <f>SUM(D5:D14)</f>
        <v>87.5</v>
      </c>
      <c r="E15" s="48"/>
      <c r="F15" s="31">
        <f>SUM(F5:F14)</f>
        <v>21.560836080586085</v>
      </c>
    </row>
    <row r="16" spans="3:10" x14ac:dyDescent="0.25">
      <c r="C16" s="30" t="s">
        <v>178</v>
      </c>
      <c r="D16" s="47"/>
      <c r="E16" s="48"/>
      <c r="F16" s="163">
        <f>SUM(F15/D15)</f>
        <v>0.24640955520669813</v>
      </c>
    </row>
    <row r="17" spans="3:6" x14ac:dyDescent="0.25">
      <c r="C17" s="1"/>
      <c r="D17" s="1"/>
      <c r="E17" s="1"/>
      <c r="F17" s="1"/>
    </row>
    <row r="18" spans="3:6" x14ac:dyDescent="0.25">
      <c r="C18" s="62" t="s">
        <v>54</v>
      </c>
      <c r="D18" s="63"/>
      <c r="E18" s="63"/>
      <c r="F18" s="131"/>
    </row>
    <row r="19" spans="3:6" ht="15.75" thickBot="1" x14ac:dyDescent="0.3">
      <c r="C19" s="37" t="s">
        <v>5</v>
      </c>
      <c r="D19" s="16" t="s">
        <v>23</v>
      </c>
      <c r="E19" s="16" t="s">
        <v>6</v>
      </c>
      <c r="F19" s="16" t="s">
        <v>24</v>
      </c>
    </row>
    <row r="20" spans="3:6" x14ac:dyDescent="0.25">
      <c r="C20" s="38" t="s">
        <v>11</v>
      </c>
      <c r="D20" s="38">
        <v>24</v>
      </c>
      <c r="E20" s="38" t="s">
        <v>20</v>
      </c>
      <c r="F20" s="18">
        <f>IFERROR(IF(E20="lb",D20*16,D20)*_xlfn.XLOOKUP(C20,Ingredients!$B:$B,Ingredients!$H:$H),"")</f>
        <v>2.9031578947368422</v>
      </c>
    </row>
    <row r="21" spans="3:6" x14ac:dyDescent="0.25">
      <c r="C21" s="17" t="s">
        <v>55</v>
      </c>
      <c r="D21" s="17">
        <v>4</v>
      </c>
      <c r="E21" s="17" t="s">
        <v>20</v>
      </c>
      <c r="F21" s="19">
        <f>IFERROR(IF(E21="lb",D21*16,D21)*_xlfn.XLOOKUP(C21,Ingredients!$B:$B,Ingredients!$H:$H),"")</f>
        <v>0.18406249999999999</v>
      </c>
    </row>
    <row r="22" spans="3:6" x14ac:dyDescent="0.25">
      <c r="C22" s="17" t="s">
        <v>57</v>
      </c>
      <c r="D22" s="17">
        <v>8</v>
      </c>
      <c r="E22" s="17" t="s">
        <v>20</v>
      </c>
      <c r="F22" s="19">
        <f>IFERROR(IF(E22="lb",D22*16,D22)*_xlfn.XLOOKUP(C22,Ingredients!$B:$B,Ingredients!$H:$H),"")</f>
        <v>0</v>
      </c>
    </row>
    <row r="23" spans="3:6" x14ac:dyDescent="0.25">
      <c r="C23" s="17" t="s">
        <v>171</v>
      </c>
      <c r="D23" s="17">
        <v>1</v>
      </c>
      <c r="E23" s="17" t="s">
        <v>20</v>
      </c>
      <c r="F23" s="19">
        <f>IFERROR(IF(E23="lb",D23*16,D23)*_xlfn.XLOOKUP(C23,Ingredients!$B:$B,Ingredients!$H:$H),"")</f>
        <v>0.223359375</v>
      </c>
    </row>
    <row r="24" spans="3:6" x14ac:dyDescent="0.25">
      <c r="C24" s="17" t="s">
        <v>56</v>
      </c>
      <c r="D24" s="17">
        <v>2</v>
      </c>
      <c r="E24" s="17" t="s">
        <v>20</v>
      </c>
      <c r="F24" s="19">
        <f>IFERROR(IF(E24="lb",D24*16,D24)*_xlfn.XLOOKUP(C24,Ingredients!$B:$B,Ingredients!$H:$H),"")</f>
        <v>0.6907692307692308</v>
      </c>
    </row>
    <row r="25" spans="3:6" x14ac:dyDescent="0.25">
      <c r="C25" s="17" t="s">
        <v>58</v>
      </c>
      <c r="D25" s="17">
        <v>16</v>
      </c>
      <c r="E25" s="17" t="s">
        <v>20</v>
      </c>
      <c r="F25" s="39">
        <f>SUM(D25*F16)</f>
        <v>3.9425528833071701</v>
      </c>
    </row>
    <row r="26" spans="3:6" x14ac:dyDescent="0.25">
      <c r="C26" s="30" t="s">
        <v>25</v>
      </c>
      <c r="D26" s="48">
        <f>SUM(D20:D25)</f>
        <v>55</v>
      </c>
      <c r="E26" s="48"/>
      <c r="F26" s="49">
        <f>SUM(F20:F25)</f>
        <v>7.9439018838132434</v>
      </c>
    </row>
    <row r="27" spans="3:6" x14ac:dyDescent="0.25">
      <c r="C27" s="30" t="s">
        <v>180</v>
      </c>
      <c r="D27" s="162"/>
      <c r="E27" s="162"/>
      <c r="F27" s="80">
        <f>SUM(F26/D26)</f>
        <v>0.14443457970569534</v>
      </c>
    </row>
    <row r="28" spans="3:6" x14ac:dyDescent="0.25">
      <c r="C28" s="30" t="s">
        <v>179</v>
      </c>
      <c r="D28" s="162"/>
      <c r="E28" s="162"/>
      <c r="F28" s="80">
        <f>(F27*1.5)+_xlfn.XLOOKUP(Packaging!F7,Packaging!F7,Packaging!F7)</f>
        <v>0.25093186955854302</v>
      </c>
    </row>
  </sheetData>
  <phoneticPr fontId="8"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D241F-BBF3-4DF8-90DA-61F0F5A94A17}">
  <dimension ref="B2:F44"/>
  <sheetViews>
    <sheetView workbookViewId="0">
      <selection activeCell="E3" sqref="E3"/>
    </sheetView>
  </sheetViews>
  <sheetFormatPr defaultRowHeight="15" x14ac:dyDescent="0.25"/>
  <cols>
    <col min="2" max="2" width="24.5703125" customWidth="1"/>
    <col min="3" max="3" width="12" customWidth="1"/>
    <col min="4" max="4" width="12.140625" customWidth="1"/>
    <col min="5" max="5" width="11.28515625" bestFit="1" customWidth="1"/>
    <col min="6" max="6" width="10.28515625" bestFit="1" customWidth="1"/>
  </cols>
  <sheetData>
    <row r="2" spans="2:6" x14ac:dyDescent="0.25">
      <c r="B2" s="62" t="s">
        <v>46</v>
      </c>
      <c r="C2" s="63"/>
      <c r="D2" s="63"/>
      <c r="E2" s="78" t="s">
        <v>73</v>
      </c>
      <c r="F2" s="1"/>
    </row>
    <row r="3" spans="2:6" x14ac:dyDescent="0.25">
      <c r="B3" s="64" t="s">
        <v>5</v>
      </c>
      <c r="C3" s="65" t="s">
        <v>23</v>
      </c>
      <c r="D3" s="65" t="s">
        <v>6</v>
      </c>
      <c r="E3" s="65" t="s">
        <v>159</v>
      </c>
      <c r="F3" s="1"/>
    </row>
    <row r="4" spans="2:6" x14ac:dyDescent="0.25">
      <c r="B4" s="17" t="s">
        <v>27</v>
      </c>
      <c r="C4" s="44">
        <v>16</v>
      </c>
      <c r="D4" s="44" t="s">
        <v>20</v>
      </c>
      <c r="E4" s="67">
        <f>C4*_xlfn.XLOOKUP(B4,Ingredients!$B$10:$B$49,Ingredients!$H$10:$H$49)</f>
        <v>3.9180000000000001</v>
      </c>
      <c r="F4" s="1"/>
    </row>
    <row r="5" spans="2:6" x14ac:dyDescent="0.25">
      <c r="B5" s="17" t="s">
        <v>158</v>
      </c>
      <c r="C5" s="44">
        <v>8</v>
      </c>
      <c r="D5" s="44" t="s">
        <v>20</v>
      </c>
      <c r="E5" s="67">
        <f>C5*_xlfn.XLOOKUP(B5,Ingredients!$B$10:$B$49,Ingredients!$H$10:$H$49)</f>
        <v>0.73899999999999999</v>
      </c>
      <c r="F5" s="1"/>
    </row>
    <row r="6" spans="2:6" x14ac:dyDescent="0.25">
      <c r="B6" s="17" t="s">
        <v>148</v>
      </c>
      <c r="C6" s="44">
        <v>1</v>
      </c>
      <c r="D6" s="44" t="s">
        <v>20</v>
      </c>
      <c r="E6" s="67">
        <f>C6*_xlfn.XLOOKUP(B6,Ingredients!$B$10:$B$49,Ingredients!$H$10:$H$49)</f>
        <v>0.16112500000000002</v>
      </c>
      <c r="F6" s="1"/>
    </row>
    <row r="7" spans="2:6" x14ac:dyDescent="0.25">
      <c r="B7" s="17" t="s">
        <v>151</v>
      </c>
      <c r="C7" s="44">
        <v>0.14000000000000001</v>
      </c>
      <c r="D7" s="44" t="s">
        <v>20</v>
      </c>
      <c r="E7" s="67">
        <f>C7*_xlfn.XLOOKUP(B7,Ingredients!$B$10:$B$49,Ingredients!$H$10:$H$49)</f>
        <v>6.4662499999999998E-2</v>
      </c>
      <c r="F7" s="1"/>
    </row>
    <row r="8" spans="2:6" x14ac:dyDescent="0.25">
      <c r="B8" s="17" t="s">
        <v>71</v>
      </c>
      <c r="C8" s="44">
        <v>0.5</v>
      </c>
      <c r="D8" s="44" t="s">
        <v>20</v>
      </c>
      <c r="E8" s="67">
        <f>C8*_xlfn.XLOOKUP(B8,Ingredients!$B$10:$B$49,Ingredients!$H$10:$H$49)</f>
        <v>3.7343750000000002E-2</v>
      </c>
      <c r="F8" s="1"/>
    </row>
    <row r="9" spans="2:6" x14ac:dyDescent="0.25">
      <c r="B9" s="17" t="s">
        <v>72</v>
      </c>
      <c r="C9" s="44">
        <v>0.14000000000000001</v>
      </c>
      <c r="D9" s="44" t="s">
        <v>20</v>
      </c>
      <c r="E9" s="67">
        <f>C9*_xlfn.XLOOKUP(B9,Ingredients!$B$10:$B$49,Ingredients!$H$10:$H$49)</f>
        <v>4.8037500000000004E-2</v>
      </c>
      <c r="F9" s="1"/>
    </row>
    <row r="10" spans="2:6" x14ac:dyDescent="0.25">
      <c r="B10" s="17" t="s">
        <v>57</v>
      </c>
      <c r="C10" s="46">
        <v>10</v>
      </c>
      <c r="D10" s="46" t="s">
        <v>20</v>
      </c>
      <c r="E10" s="67">
        <f>C10*_xlfn.XLOOKUP(B10,Ingredients!$B$10:$B$49,Ingredients!$H$10:$H$49)</f>
        <v>0</v>
      </c>
      <c r="F10" s="1"/>
    </row>
    <row r="11" spans="2:6" x14ac:dyDescent="0.25">
      <c r="B11" s="17" t="s">
        <v>156</v>
      </c>
      <c r="C11" s="46">
        <v>0.1</v>
      </c>
      <c r="D11" s="46" t="s">
        <v>20</v>
      </c>
      <c r="E11" s="67">
        <f>C11*_xlfn.XLOOKUP(B11,Ingredients!$B$10:$B$49,Ingredients!$H$10:$H$49)</f>
        <v>1.7437500000000002E-2</v>
      </c>
      <c r="F11" s="1"/>
    </row>
    <row r="12" spans="2:6" ht="15.75" thickBot="1" x14ac:dyDescent="0.3">
      <c r="B12" s="68" t="s">
        <v>74</v>
      </c>
      <c r="C12" s="69">
        <v>6</v>
      </c>
      <c r="D12" s="69"/>
      <c r="E12" s="70">
        <f>C12*_xlfn.XLOOKUP(Packaging!B3,Packaging!B3,Packaging!E3)</f>
        <v>1.3314000000000001</v>
      </c>
      <c r="F12" s="16" t="s">
        <v>75</v>
      </c>
    </row>
    <row r="13" spans="2:6" x14ac:dyDescent="0.25">
      <c r="B13" s="73" t="s">
        <v>25</v>
      </c>
      <c r="C13" s="74"/>
      <c r="D13" s="41"/>
      <c r="E13" s="71">
        <f>SUM(E4:E12)</f>
        <v>6.3170062500000004</v>
      </c>
      <c r="F13" s="72">
        <f>SUM(E13/C12)</f>
        <v>1.052834375</v>
      </c>
    </row>
    <row r="14" spans="2:6" x14ac:dyDescent="0.25">
      <c r="B14" s="1"/>
      <c r="C14" s="1"/>
      <c r="D14" s="1"/>
      <c r="E14" s="1"/>
      <c r="F14" s="1"/>
    </row>
    <row r="15" spans="2:6" x14ac:dyDescent="0.25">
      <c r="B15" s="62" t="s">
        <v>78</v>
      </c>
      <c r="C15" s="79"/>
      <c r="D15" s="79"/>
      <c r="E15" s="78" t="s">
        <v>73</v>
      </c>
      <c r="F15" s="1"/>
    </row>
    <row r="16" spans="2:6" x14ac:dyDescent="0.25">
      <c r="B16" s="73" t="s">
        <v>5</v>
      </c>
      <c r="C16" s="73" t="s">
        <v>23</v>
      </c>
      <c r="D16" s="73" t="s">
        <v>6</v>
      </c>
      <c r="E16" s="73" t="s">
        <v>159</v>
      </c>
      <c r="F16" s="1"/>
    </row>
    <row r="17" spans="2:6" x14ac:dyDescent="0.25">
      <c r="B17" s="17" t="s">
        <v>152</v>
      </c>
      <c r="C17" s="17">
        <v>16</v>
      </c>
      <c r="D17" s="44" t="s">
        <v>20</v>
      </c>
      <c r="E17" s="66">
        <f>C17*_xlfn.XLOOKUP(B17,Ingredients!$B$10:$B$49,Ingredients!$H$10:$H$49)</f>
        <v>3.1179999999999999</v>
      </c>
      <c r="F17" s="1"/>
    </row>
    <row r="18" spans="2:6" x14ac:dyDescent="0.25">
      <c r="B18" s="17" t="s">
        <v>158</v>
      </c>
      <c r="C18" s="17">
        <v>8</v>
      </c>
      <c r="D18" s="44" t="s">
        <v>20</v>
      </c>
      <c r="E18" s="66">
        <f>C18*_xlfn.XLOOKUP(B18,Ingredients!$B$10:$B$49,Ingredients!$H$10:$H$49)</f>
        <v>0.73899999999999999</v>
      </c>
      <c r="F18" s="1"/>
    </row>
    <row r="19" spans="2:6" x14ac:dyDescent="0.25">
      <c r="B19" s="17" t="s">
        <v>148</v>
      </c>
      <c r="C19" s="17">
        <v>1</v>
      </c>
      <c r="D19" s="44" t="s">
        <v>20</v>
      </c>
      <c r="E19" s="66">
        <f>C19*_xlfn.XLOOKUP(B19,Ingredients!$B$10:$B$49,Ingredients!$H$10:$H$49)</f>
        <v>0.16112500000000002</v>
      </c>
      <c r="F19" s="1"/>
    </row>
    <row r="20" spans="2:6" x14ac:dyDescent="0.25">
      <c r="B20" s="17" t="s">
        <v>151</v>
      </c>
      <c r="C20" s="17">
        <v>0.14000000000000001</v>
      </c>
      <c r="D20" s="44" t="s">
        <v>20</v>
      </c>
      <c r="E20" s="66">
        <f>C20*_xlfn.XLOOKUP(B20,Ingredients!$B$10:$B$49,Ingredients!$H$10:$H$49)</f>
        <v>6.4662499999999998E-2</v>
      </c>
      <c r="F20" s="1"/>
    </row>
    <row r="21" spans="2:6" x14ac:dyDescent="0.25">
      <c r="B21" s="17" t="s">
        <v>71</v>
      </c>
      <c r="C21" s="17">
        <v>0.5</v>
      </c>
      <c r="D21" s="44" t="s">
        <v>20</v>
      </c>
      <c r="E21" s="66">
        <f>C21*_xlfn.XLOOKUP(B21,Ingredients!$B$10:$B$49,Ingredients!$H$10:$H$49)</f>
        <v>3.7343750000000002E-2</v>
      </c>
      <c r="F21" s="1"/>
    </row>
    <row r="22" spans="2:6" x14ac:dyDescent="0.25">
      <c r="B22" s="17" t="s">
        <v>72</v>
      </c>
      <c r="C22" s="17">
        <v>0.14000000000000001</v>
      </c>
      <c r="D22" s="44" t="s">
        <v>20</v>
      </c>
      <c r="E22" s="66">
        <f>C22*_xlfn.XLOOKUP(B22,Ingredients!$B$10:$B$49,Ingredients!$H$10:$H$49)</f>
        <v>4.8037500000000004E-2</v>
      </c>
      <c r="F22" s="1"/>
    </row>
    <row r="23" spans="2:6" x14ac:dyDescent="0.25">
      <c r="B23" s="17" t="s">
        <v>57</v>
      </c>
      <c r="C23" s="17">
        <v>10</v>
      </c>
      <c r="D23" s="44" t="s">
        <v>20</v>
      </c>
      <c r="E23" s="66">
        <f>C23*_xlfn.XLOOKUP(B23,Ingredients!$B$10:$B$49,Ingredients!$H$10:$H$49)</f>
        <v>0</v>
      </c>
      <c r="F23" s="1"/>
    </row>
    <row r="24" spans="2:6" x14ac:dyDescent="0.25">
      <c r="B24" s="17" t="s">
        <v>156</v>
      </c>
      <c r="C24" s="17">
        <v>0.1</v>
      </c>
      <c r="D24" s="44" t="s">
        <v>20</v>
      </c>
      <c r="E24" s="66">
        <f>C24*_xlfn.XLOOKUP(B24,Ingredients!$B$10:$B$49,Ingredients!$H$10:$H$49)</f>
        <v>1.7437500000000002E-2</v>
      </c>
      <c r="F24" s="1"/>
    </row>
    <row r="25" spans="2:6" x14ac:dyDescent="0.25">
      <c r="B25" s="17" t="s">
        <v>79</v>
      </c>
      <c r="C25" s="17">
        <v>0.5</v>
      </c>
      <c r="D25" s="44" t="s">
        <v>20</v>
      </c>
      <c r="E25" s="66">
        <f>C25*_xlfn.XLOOKUP(B25,Ingredients!$B$10:$B$49,Ingredients!$H$10:$H$49)</f>
        <v>0.49966666666666665</v>
      </c>
      <c r="F25" s="1"/>
    </row>
    <row r="26" spans="2:6" x14ac:dyDescent="0.25">
      <c r="B26" s="17" t="s">
        <v>74</v>
      </c>
      <c r="C26" s="17">
        <v>6</v>
      </c>
      <c r="D26" s="44"/>
      <c r="E26" s="66">
        <f>C26*_xlfn.XLOOKUP(Packaging!B3,Packaging!B3,Packaging!E3)</f>
        <v>1.3314000000000001</v>
      </c>
      <c r="F26" s="77" t="s">
        <v>75</v>
      </c>
    </row>
    <row r="27" spans="2:6" x14ac:dyDescent="0.25">
      <c r="B27" s="77" t="s">
        <v>25</v>
      </c>
      <c r="C27" s="17"/>
      <c r="D27" s="17"/>
      <c r="E27" s="66">
        <f>SUM(E17:E26)</f>
        <v>6.0166729166666659</v>
      </c>
      <c r="F27" s="39">
        <f>SUM(E27/C26)</f>
        <v>1.0027788194444442</v>
      </c>
    </row>
    <row r="29" spans="2:6" x14ac:dyDescent="0.25">
      <c r="B29" s="62" t="s">
        <v>82</v>
      </c>
      <c r="C29" s="79"/>
      <c r="D29" s="79"/>
      <c r="E29" s="78" t="s">
        <v>73</v>
      </c>
    </row>
    <row r="30" spans="2:6" x14ac:dyDescent="0.25">
      <c r="B30" s="73" t="s">
        <v>5</v>
      </c>
      <c r="C30" s="73" t="s">
        <v>23</v>
      </c>
      <c r="D30" s="73" t="s">
        <v>6</v>
      </c>
      <c r="E30" s="73" t="s">
        <v>159</v>
      </c>
    </row>
    <row r="31" spans="2:6" x14ac:dyDescent="0.25">
      <c r="B31" s="17" t="s">
        <v>149</v>
      </c>
      <c r="C31" s="44">
        <v>1</v>
      </c>
      <c r="D31" s="44" t="s">
        <v>141</v>
      </c>
      <c r="E31" s="66">
        <f>C31*_xlfn.XLOOKUP(B31,Ingredients!$B$10:$B$49,Ingredients!$H$10:$H$49)</f>
        <v>1.97</v>
      </c>
      <c r="F31" s="1"/>
    </row>
    <row r="32" spans="2:6" x14ac:dyDescent="0.25">
      <c r="B32" s="17" t="s">
        <v>147</v>
      </c>
      <c r="C32" s="44">
        <v>24</v>
      </c>
      <c r="D32" s="44" t="s">
        <v>20</v>
      </c>
      <c r="E32" s="66">
        <f>C32*_xlfn.XLOOKUP(B32,Ingredients!$B$10:$B$49,Ingredients!$H$10:$H$49)</f>
        <v>0.73031250000000003</v>
      </c>
      <c r="F32" s="1"/>
    </row>
    <row r="33" spans="2:6" x14ac:dyDescent="0.25">
      <c r="B33" s="17" t="s">
        <v>145</v>
      </c>
      <c r="C33" s="46">
        <v>1</v>
      </c>
      <c r="D33" s="46" t="s">
        <v>20</v>
      </c>
      <c r="E33" s="66">
        <f>C33*_xlfn.XLOOKUP(B33,Ingredients!$B$10:$B$49,Ingredients!$H$10:$H$49)</f>
        <v>0.37714285714285717</v>
      </c>
      <c r="F33" s="1"/>
    </row>
    <row r="34" spans="2:6" ht="15.75" thickBot="1" x14ac:dyDescent="0.3">
      <c r="B34" s="68" t="s">
        <v>74</v>
      </c>
      <c r="C34" s="69">
        <v>6</v>
      </c>
      <c r="D34" s="69"/>
      <c r="E34" s="68">
        <f>C34*_xlfn.XLOOKUP(Packaging!B3,Packaging!B3,Packaging!E3)</f>
        <v>1.3314000000000001</v>
      </c>
      <c r="F34" s="16" t="s">
        <v>75</v>
      </c>
    </row>
    <row r="35" spans="2:6" x14ac:dyDescent="0.25">
      <c r="B35" s="73" t="s">
        <v>25</v>
      </c>
      <c r="C35" s="41"/>
      <c r="D35" s="41"/>
      <c r="E35" s="110">
        <f>SUM(E31:E34)</f>
        <v>4.4088553571428575</v>
      </c>
      <c r="F35" s="110">
        <f>SUM(E35/C34)</f>
        <v>0.73480922619047628</v>
      </c>
    </row>
    <row r="37" spans="2:6" x14ac:dyDescent="0.25">
      <c r="B37" s="84" t="s">
        <v>89</v>
      </c>
      <c r="C37" s="85"/>
      <c r="D37" s="85"/>
      <c r="E37" s="86"/>
      <c r="F37" s="1"/>
    </row>
    <row r="38" spans="2:6" ht="15.75" thickBot="1" x14ac:dyDescent="0.3">
      <c r="B38" s="16" t="s">
        <v>5</v>
      </c>
      <c r="C38" s="16" t="s">
        <v>23</v>
      </c>
      <c r="D38" s="16" t="s">
        <v>6</v>
      </c>
      <c r="E38" s="16" t="s">
        <v>159</v>
      </c>
      <c r="F38" s="1"/>
    </row>
    <row r="39" spans="2:6" x14ac:dyDescent="0.25">
      <c r="B39" s="38" t="s">
        <v>3</v>
      </c>
      <c r="C39" s="41">
        <v>4</v>
      </c>
      <c r="D39" s="41" t="s">
        <v>20</v>
      </c>
      <c r="E39" s="72">
        <f>_xlfn.XLOOKUP('Other recipes'!B39,'Meat Prep'!B4,'Meat Prep'!J4)*(C39/16)</f>
        <v>0.79555987741250334</v>
      </c>
      <c r="F39" s="1"/>
    </row>
    <row r="40" spans="2:6" x14ac:dyDescent="0.25">
      <c r="B40" s="17" t="s">
        <v>77</v>
      </c>
      <c r="C40" s="44">
        <v>6</v>
      </c>
      <c r="D40" s="44" t="s">
        <v>20</v>
      </c>
      <c r="E40" s="39">
        <f>C40*_xlfn.XLOOKUP(B40,Ingredients!B24,Ingredients!H24)</f>
        <v>0.32763888888888887</v>
      </c>
      <c r="F40" s="1"/>
    </row>
    <row r="41" spans="2:6" x14ac:dyDescent="0.25">
      <c r="B41" s="17" t="s">
        <v>146</v>
      </c>
      <c r="C41" s="44">
        <v>2</v>
      </c>
      <c r="D41" s="44" t="s">
        <v>20</v>
      </c>
      <c r="E41" s="39">
        <f>_xlfn.XLOOKUP(B41,Ingredients!B32,Ingredients!H32)*C41</f>
        <v>0.6895</v>
      </c>
      <c r="F41" s="1"/>
    </row>
    <row r="42" spans="2:6" x14ac:dyDescent="0.25">
      <c r="B42" s="17"/>
      <c r="C42" s="46"/>
      <c r="D42" s="46"/>
      <c r="E42" s="39"/>
      <c r="F42" s="1"/>
    </row>
    <row r="43" spans="2:6" ht="15.75" thickBot="1" x14ac:dyDescent="0.3">
      <c r="B43" s="68"/>
      <c r="C43" s="69"/>
      <c r="D43" s="68"/>
      <c r="E43" s="68"/>
    </row>
    <row r="44" spans="2:6" x14ac:dyDescent="0.25">
      <c r="B44" s="73" t="s">
        <v>25</v>
      </c>
      <c r="C44" s="38"/>
      <c r="D44" s="38"/>
      <c r="E44" s="87">
        <f>SUM(E39:E43)</f>
        <v>1.8126987663013923</v>
      </c>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CA3322AC-117A-46E1-92B9-27A8DD4547AD}">
          <x14:formula1>
            <xm:f>Ingredients!$B$11:$B$49</xm:f>
          </x14:formula1>
          <xm:sqref>B31:B33</xm:sqref>
        </x14:dataValidation>
        <x14:dataValidation type="list" allowBlank="1" showInputMessage="1" showErrorMessage="1" xr:uid="{F984FE54-8455-4B6E-B730-6F624015884E}">
          <x14:formula1>
            <xm:f>Ingredients!$B$10:$B$49</xm:f>
          </x14:formula1>
          <xm:sqref>B17:B25</xm:sqref>
        </x14:dataValidation>
        <x14:dataValidation type="list" allowBlank="1" showInputMessage="1" showErrorMessage="1" xr:uid="{DB9B7F60-1A65-49E2-B694-11368D9E82D8}">
          <x14:formula1>
            <xm:f>Ingredients!$B$10:$B$62</xm:f>
          </x14:formula1>
          <xm:sqref>B4:B11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F1E48-D08D-435B-B7F8-EB2BF6E56717}">
  <dimension ref="B2:F25"/>
  <sheetViews>
    <sheetView workbookViewId="0">
      <selection activeCell="C2" sqref="C2"/>
    </sheetView>
  </sheetViews>
  <sheetFormatPr defaultRowHeight="15" x14ac:dyDescent="0.25"/>
  <cols>
    <col min="2" max="2" width="19.28515625" customWidth="1"/>
    <col min="3" max="3" width="9.28515625" bestFit="1" customWidth="1"/>
    <col min="4" max="4" width="9.42578125" bestFit="1" customWidth="1"/>
    <col min="5" max="5" width="12.42578125" customWidth="1"/>
    <col min="6" max="6" width="14.42578125" customWidth="1"/>
  </cols>
  <sheetData>
    <row r="2" spans="2:6" ht="15.75" thickBot="1" x14ac:dyDescent="0.3">
      <c r="B2" s="124" t="s">
        <v>29</v>
      </c>
      <c r="C2" s="124" t="s">
        <v>168</v>
      </c>
      <c r="D2" s="124" t="s">
        <v>167</v>
      </c>
      <c r="E2" s="124" t="s">
        <v>166</v>
      </c>
      <c r="F2" s="124" t="s">
        <v>161</v>
      </c>
    </row>
    <row r="3" spans="2:6" x14ac:dyDescent="0.25">
      <c r="B3" s="60" t="s">
        <v>30</v>
      </c>
      <c r="C3" s="61">
        <v>100</v>
      </c>
      <c r="D3" s="75">
        <v>22.19</v>
      </c>
      <c r="E3" s="128">
        <f>SUM(D3/C3)</f>
        <v>0.22190000000000001</v>
      </c>
      <c r="F3" s="60"/>
    </row>
    <row r="4" spans="2:6" ht="72" x14ac:dyDescent="0.25">
      <c r="B4" s="129" t="s">
        <v>53</v>
      </c>
      <c r="C4" s="4">
        <v>100</v>
      </c>
      <c r="D4" s="52">
        <v>25.59</v>
      </c>
      <c r="E4" s="128">
        <f>SUM(D4/C4)</f>
        <v>0.25590000000000002</v>
      </c>
      <c r="F4" s="6"/>
    </row>
    <row r="5" spans="2:6" ht="72" x14ac:dyDescent="0.25">
      <c r="B5" s="129" t="s">
        <v>59</v>
      </c>
      <c r="C5" s="4">
        <v>1000</v>
      </c>
      <c r="D5" s="52">
        <v>22.59</v>
      </c>
      <c r="E5" s="128">
        <f>SUM(D5/C5)</f>
        <v>2.2589999999999999E-2</v>
      </c>
      <c r="F5" s="6"/>
    </row>
    <row r="6" spans="2:6" ht="29.25" x14ac:dyDescent="0.25">
      <c r="B6" s="129" t="s">
        <v>60</v>
      </c>
      <c r="C6" s="4">
        <v>250</v>
      </c>
      <c r="D6" s="52">
        <v>4.99</v>
      </c>
      <c r="E6" s="128">
        <f t="shared" ref="E6:E9" si="0">SUM(D6/C6)</f>
        <v>1.9960000000000002E-2</v>
      </c>
      <c r="F6" s="6"/>
    </row>
    <row r="7" spans="2:6" ht="57.75" x14ac:dyDescent="0.25">
      <c r="B7" s="129" t="s">
        <v>61</v>
      </c>
      <c r="C7" s="4">
        <v>125</v>
      </c>
      <c r="D7" s="52">
        <v>1.79</v>
      </c>
      <c r="E7" s="128">
        <f t="shared" si="0"/>
        <v>1.4320000000000001E-2</v>
      </c>
      <c r="F7" s="130">
        <f>SUM(E6:E7)</f>
        <v>3.4280000000000005E-2</v>
      </c>
    </row>
    <row r="8" spans="2:6" ht="86.25" x14ac:dyDescent="0.25">
      <c r="B8" s="129" t="s">
        <v>107</v>
      </c>
      <c r="C8" s="4">
        <v>250</v>
      </c>
      <c r="D8" s="6">
        <v>15.49</v>
      </c>
      <c r="E8" s="128">
        <f t="shared" si="0"/>
        <v>6.1960000000000001E-2</v>
      </c>
      <c r="F8" s="6"/>
    </row>
    <row r="9" spans="2:6" ht="57.75" x14ac:dyDescent="0.25">
      <c r="B9" s="129" t="s">
        <v>125</v>
      </c>
      <c r="C9" s="4">
        <v>150</v>
      </c>
      <c r="D9" s="6">
        <v>24.79</v>
      </c>
      <c r="E9" s="128">
        <f t="shared" si="0"/>
        <v>0.16526666666666667</v>
      </c>
      <c r="F9" s="6"/>
    </row>
    <row r="10" spans="2:6" ht="72" x14ac:dyDescent="0.25">
      <c r="B10" s="129" t="s">
        <v>142</v>
      </c>
      <c r="C10" s="4">
        <v>200</v>
      </c>
      <c r="D10" s="6">
        <v>18.29</v>
      </c>
      <c r="E10" s="128">
        <f>SUM(D10/C10)</f>
        <v>9.144999999999999E-2</v>
      </c>
      <c r="F10" s="6"/>
    </row>
    <row r="11" spans="2:6" ht="72" x14ac:dyDescent="0.25">
      <c r="B11" s="129" t="s">
        <v>143</v>
      </c>
      <c r="C11" s="4">
        <v>288</v>
      </c>
      <c r="D11" s="6">
        <v>7.29</v>
      </c>
      <c r="E11" s="54">
        <f>SUM(D11/C11)</f>
        <v>2.5312500000000002E-2</v>
      </c>
      <c r="F11" s="6"/>
    </row>
    <row r="12" spans="2:6" x14ac:dyDescent="0.25">
      <c r="B12" s="6"/>
      <c r="C12" s="4"/>
      <c r="D12" s="6"/>
      <c r="E12" s="4"/>
      <c r="F12" s="6"/>
    </row>
    <row r="13" spans="2:6" x14ac:dyDescent="0.25">
      <c r="B13" s="7"/>
      <c r="C13" s="5"/>
      <c r="D13" s="7"/>
      <c r="E13" s="5"/>
      <c r="F13" s="7"/>
    </row>
    <row r="14" spans="2:6" x14ac:dyDescent="0.25">
      <c r="B14" s="7"/>
      <c r="C14" s="5"/>
      <c r="D14" s="7"/>
      <c r="E14" s="5"/>
      <c r="F14" s="7"/>
    </row>
    <row r="15" spans="2:6" x14ac:dyDescent="0.25">
      <c r="B15" s="7"/>
      <c r="C15" s="5"/>
      <c r="D15" s="7"/>
      <c r="E15" s="5"/>
      <c r="F15" s="7"/>
    </row>
    <row r="16" spans="2:6" x14ac:dyDescent="0.25">
      <c r="B16" s="7"/>
      <c r="C16" s="5"/>
      <c r="D16" s="7"/>
      <c r="E16" s="5"/>
      <c r="F16" s="7"/>
    </row>
    <row r="17" spans="2:6" x14ac:dyDescent="0.25">
      <c r="B17" s="7"/>
      <c r="C17" s="5"/>
      <c r="D17" s="7"/>
      <c r="E17" s="5"/>
      <c r="F17" s="7"/>
    </row>
    <row r="18" spans="2:6" x14ac:dyDescent="0.25">
      <c r="B18" s="7"/>
      <c r="C18" s="5"/>
      <c r="D18" s="7"/>
      <c r="E18" s="5"/>
      <c r="F18" s="7"/>
    </row>
    <row r="19" spans="2:6" x14ac:dyDescent="0.25">
      <c r="B19" s="7"/>
      <c r="C19" s="5"/>
      <c r="D19" s="7"/>
      <c r="E19" s="5"/>
      <c r="F19" s="7"/>
    </row>
    <row r="20" spans="2:6" x14ac:dyDescent="0.25">
      <c r="B20" s="7"/>
      <c r="C20" s="5"/>
      <c r="D20" s="7"/>
      <c r="E20" s="5"/>
      <c r="F20" s="7"/>
    </row>
    <row r="21" spans="2:6" x14ac:dyDescent="0.25">
      <c r="B21" s="7"/>
      <c r="C21" s="5"/>
      <c r="D21" s="7"/>
      <c r="E21" s="5"/>
      <c r="F21" s="7"/>
    </row>
    <row r="22" spans="2:6" x14ac:dyDescent="0.25">
      <c r="B22" s="7"/>
      <c r="C22" s="5"/>
      <c r="D22" s="7"/>
      <c r="E22" s="5"/>
      <c r="F22" s="7"/>
    </row>
    <row r="23" spans="2:6" x14ac:dyDescent="0.25">
      <c r="B23" s="7"/>
      <c r="C23" s="5"/>
      <c r="D23" s="7"/>
      <c r="E23" s="5"/>
      <c r="F23" s="7"/>
    </row>
    <row r="24" spans="2:6" x14ac:dyDescent="0.25">
      <c r="B24" s="7"/>
      <c r="C24" s="5"/>
      <c r="D24" s="7"/>
      <c r="E24" s="5"/>
      <c r="F24" s="7"/>
    </row>
    <row r="25" spans="2:6" x14ac:dyDescent="0.25">
      <c r="B25" s="7"/>
      <c r="C25" s="5"/>
      <c r="D25" s="7"/>
      <c r="E25" s="5"/>
      <c r="F25"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A65BB-79F3-4E2A-BB64-0769C9175D6A}">
  <dimension ref="B2:O55"/>
  <sheetViews>
    <sheetView topLeftCell="A28" workbookViewId="0">
      <selection activeCell="I4" activeCellId="5" sqref="I31 I26 I17 I15 I13 I4"/>
    </sheetView>
  </sheetViews>
  <sheetFormatPr defaultRowHeight="15" x14ac:dyDescent="0.25"/>
  <cols>
    <col min="2" max="2" width="24.5703125" customWidth="1"/>
    <col min="3" max="3" width="11.7109375" customWidth="1"/>
    <col min="4" max="4" width="13.5703125" customWidth="1"/>
    <col min="6" max="6" width="9.140625" style="50"/>
    <col min="8" max="8" width="11.5703125" customWidth="1"/>
    <col min="9" max="9" width="11.42578125" customWidth="1"/>
    <col min="10" max="10" width="15.5703125" customWidth="1"/>
    <col min="11" max="11" width="13" bestFit="1" customWidth="1"/>
    <col min="12" max="12" width="17.42578125" customWidth="1"/>
    <col min="14" max="14" width="12" customWidth="1"/>
  </cols>
  <sheetData>
    <row r="2" spans="2:15" ht="28.5" x14ac:dyDescent="0.25">
      <c r="B2" s="127" t="s">
        <v>35</v>
      </c>
      <c r="C2" s="127" t="s">
        <v>36</v>
      </c>
      <c r="D2" s="127" t="s">
        <v>62</v>
      </c>
      <c r="E2" s="127" t="s">
        <v>37</v>
      </c>
      <c r="F2" s="127" t="s">
        <v>63</v>
      </c>
      <c r="G2" s="127" t="s">
        <v>64</v>
      </c>
      <c r="H2" s="127" t="s">
        <v>65</v>
      </c>
      <c r="I2" s="127" t="s">
        <v>66</v>
      </c>
      <c r="J2" s="127" t="s">
        <v>38</v>
      </c>
      <c r="K2" s="127" t="s">
        <v>68</v>
      </c>
      <c r="L2" s="127" t="s">
        <v>39</v>
      </c>
      <c r="M2" s="127" t="s">
        <v>69</v>
      </c>
      <c r="N2" s="127" t="s">
        <v>67</v>
      </c>
      <c r="O2" s="127" t="s">
        <v>40</v>
      </c>
    </row>
    <row r="3" spans="2:15" x14ac:dyDescent="0.25">
      <c r="B3" s="26" t="s">
        <v>41</v>
      </c>
      <c r="C3" s="27" t="s">
        <v>42</v>
      </c>
      <c r="D3" s="28">
        <v>6</v>
      </c>
      <c r="E3" s="51">
        <f>_xlfn.XLOOKUP("Pork Butt",'Meat Prep'!$B:$B,'Meat Prep'!$J:$J,"")*(D3/16)</f>
        <v>1.1933398161187549</v>
      </c>
      <c r="F3" s="28">
        <v>1</v>
      </c>
      <c r="G3" s="51">
        <f>F3*_xlfn.XLOOKUP("Franz Hawaiian buns",Ingredients!$B:$B,Ingredients!$H:$H,"")</f>
        <v>0.41583333333333333</v>
      </c>
      <c r="H3" s="26">
        <v>1</v>
      </c>
      <c r="I3" s="51">
        <f>H3*'Meat Recipes'!$F$27</f>
        <v>0.14443457970569534</v>
      </c>
      <c r="J3" s="28" t="s">
        <v>126</v>
      </c>
      <c r="K3" s="51"/>
      <c r="L3" s="28" t="s">
        <v>126</v>
      </c>
      <c r="M3" s="51"/>
      <c r="N3" s="53">
        <f>_xlfn.XLOOKUP("BAGCRAFT 12X12 WHITE WAX GREASE RESISTANT WAX PAPER",Packaging!$B:$B,Packaging!$E:$E,"")</f>
        <v>2.2589999999999999E-2</v>
      </c>
      <c r="O3" s="55">
        <f>SUM(E3,G3,I3,N3)</f>
        <v>1.7761977291577837</v>
      </c>
    </row>
    <row r="4" spans="2:15" x14ac:dyDescent="0.25">
      <c r="B4" s="26"/>
      <c r="C4" s="27"/>
      <c r="D4" s="28"/>
      <c r="E4" s="51"/>
      <c r="F4" s="28"/>
      <c r="G4" s="51"/>
      <c r="H4" s="26"/>
      <c r="I4" s="51"/>
      <c r="J4" s="26"/>
      <c r="K4" s="51"/>
      <c r="L4" s="28"/>
      <c r="M4" s="51"/>
      <c r="N4" s="53"/>
      <c r="O4" s="55"/>
    </row>
    <row r="5" spans="2:15" x14ac:dyDescent="0.25">
      <c r="B5" s="26" t="s">
        <v>90</v>
      </c>
      <c r="C5" s="27" t="s">
        <v>44</v>
      </c>
      <c r="D5" s="28">
        <v>6</v>
      </c>
      <c r="E5" s="51">
        <f>_xlfn.XLOOKUP("Pork Butt",'Meat Prep'!$B:$B,'Meat Prep'!$J:$J,"")*(D5/16)</f>
        <v>1.1933398161187549</v>
      </c>
      <c r="F5" s="28">
        <v>1</v>
      </c>
      <c r="G5" s="51">
        <f>F5*_xlfn.XLOOKUP("Franz Hawaiian buns",Ingredients!$B:$B,Ingredients!$H:$H,"")</f>
        <v>0.41583333333333333</v>
      </c>
      <c r="H5" s="26">
        <v>0</v>
      </c>
      <c r="I5" s="51">
        <f>H5*'Meat Recipes'!$F$27</f>
        <v>0</v>
      </c>
      <c r="J5" s="82" t="s">
        <v>77</v>
      </c>
      <c r="K5" s="51">
        <f t="shared" ref="K5:K12" si="0">_xlfn.XLOOKUP(J5,$B$37:$B$45,$E$37:$E$45,"")</f>
        <v>0.27303240740740742</v>
      </c>
      <c r="L5" s="82"/>
      <c r="M5" s="51">
        <f t="shared" ref="M5:M12" si="1">_xlfn.XLOOKUP(L5,$B$37:$B$45,$E$37:$E$45,"")</f>
        <v>0</v>
      </c>
      <c r="N5" s="53">
        <f>_xlfn.XLOOKUP(Packaging!E9,Packaging!E9,Packaging!E9)</f>
        <v>0.16526666666666667</v>
      </c>
      <c r="O5" s="55">
        <f>SUM(E5,G5,I5,K5,M5,N5)</f>
        <v>2.0474722235261624</v>
      </c>
    </row>
    <row r="6" spans="2:15" ht="28.5" x14ac:dyDescent="0.25">
      <c r="B6" s="26" t="s">
        <v>91</v>
      </c>
      <c r="C6" s="27" t="s">
        <v>44</v>
      </c>
      <c r="D6" s="28">
        <v>6</v>
      </c>
      <c r="E6" s="51">
        <f>_xlfn.XLOOKUP("Pork Butt",'Meat Prep'!$B:$B,'Meat Prep'!$J:$J,"")*(D6/16)</f>
        <v>1.1933398161187549</v>
      </c>
      <c r="F6" s="28">
        <v>1</v>
      </c>
      <c r="G6" s="51">
        <f>F6*_xlfn.XLOOKUP("Franz Hawaiian buns",Ingredients!$B:$B,Ingredients!$H:$H,"")</f>
        <v>0.41583333333333333</v>
      </c>
      <c r="H6" s="26">
        <v>0</v>
      </c>
      <c r="I6" s="51">
        <f>H6*'Meat Recipes'!$F$27</f>
        <v>0</v>
      </c>
      <c r="J6" s="82" t="s">
        <v>84</v>
      </c>
      <c r="K6" s="51">
        <f t="shared" si="0"/>
        <v>0.73546875</v>
      </c>
      <c r="L6" s="82" t="s">
        <v>150</v>
      </c>
      <c r="M6" s="51">
        <f t="shared" si="1"/>
        <v>0.45461538461538464</v>
      </c>
      <c r="N6" s="53">
        <f>_xlfn.XLOOKUP(Packaging!B4,Packaging!B4,Packaging!E4)</f>
        <v>0.25590000000000002</v>
      </c>
      <c r="O6" s="55">
        <f t="shared" ref="O6:O35" si="2">SUM(E6,G6,I6,K6,M6,N6)</f>
        <v>3.0551572840674726</v>
      </c>
    </row>
    <row r="7" spans="2:15" x14ac:dyDescent="0.25">
      <c r="B7" s="26" t="s">
        <v>92</v>
      </c>
      <c r="C7" s="27" t="s">
        <v>44</v>
      </c>
      <c r="D7" s="28">
        <v>6</v>
      </c>
      <c r="E7" s="51">
        <f>_xlfn.XLOOKUP("Pork Butt",'Meat Prep'!$B:$B,'Meat Prep'!$J:$J,"")*(D7/16)</f>
        <v>1.1933398161187549</v>
      </c>
      <c r="F7" s="28">
        <v>1</v>
      </c>
      <c r="G7" s="51">
        <f>F7*_xlfn.XLOOKUP("Franz Hawaiian buns",Ingredients!$B:$B,Ingredients!$H:$H,"")</f>
        <v>0.41583333333333333</v>
      </c>
      <c r="H7" s="26">
        <v>0</v>
      </c>
      <c r="I7" s="51">
        <f>H7*'Meat Recipes'!$F$27</f>
        <v>0</v>
      </c>
      <c r="J7" s="82" t="s">
        <v>26</v>
      </c>
      <c r="K7" s="51">
        <f t="shared" si="0"/>
        <v>0.29298611111111111</v>
      </c>
      <c r="L7" s="82" t="s">
        <v>150</v>
      </c>
      <c r="M7" s="51">
        <f t="shared" si="1"/>
        <v>0.45461538461538464</v>
      </c>
      <c r="N7" s="53">
        <f>_xlfn.XLOOKUP(Packaging!B4,Packaging!B4,Packaging!E4)</f>
        <v>0.25590000000000002</v>
      </c>
      <c r="O7" s="55">
        <f t="shared" si="2"/>
        <v>2.6126746451785841</v>
      </c>
    </row>
    <row r="8" spans="2:15" x14ac:dyDescent="0.25">
      <c r="B8" s="26" t="s">
        <v>123</v>
      </c>
      <c r="C8" s="27" t="s">
        <v>44</v>
      </c>
      <c r="D8" s="28">
        <v>6</v>
      </c>
      <c r="E8" s="51">
        <f>_xlfn.XLOOKUP("Pork Butt",'Meat Prep'!$B:$B,'Meat Prep'!$J:$J,"")*(D8/16)</f>
        <v>1.1933398161187549</v>
      </c>
      <c r="F8" s="28">
        <v>1</v>
      </c>
      <c r="G8" s="51">
        <f>F8*_xlfn.XLOOKUP("Franz Hawaiian buns",Ingredients!$B:$B,Ingredients!$H:$H,"")</f>
        <v>0.41583333333333333</v>
      </c>
      <c r="H8" s="26"/>
      <c r="I8" s="51">
        <f>H8*'Meat Recipes'!$F$27</f>
        <v>0</v>
      </c>
      <c r="J8" s="82" t="s">
        <v>77</v>
      </c>
      <c r="K8" s="51">
        <f t="shared" si="0"/>
        <v>0.27303240740740742</v>
      </c>
      <c r="L8" s="82" t="s">
        <v>83</v>
      </c>
      <c r="M8" s="51">
        <f t="shared" si="1"/>
        <v>1.0066071428571428</v>
      </c>
      <c r="N8" s="53">
        <f>_xlfn.XLOOKUP(Packaging!B4,Packaging!B4,Packaging!E4)</f>
        <v>0.25590000000000002</v>
      </c>
      <c r="O8" s="55">
        <f t="shared" si="2"/>
        <v>3.1447126997166386</v>
      </c>
    </row>
    <row r="9" spans="2:15" ht="28.5" x14ac:dyDescent="0.25">
      <c r="B9" s="26" t="s">
        <v>93</v>
      </c>
      <c r="C9" s="27" t="s">
        <v>45</v>
      </c>
      <c r="D9" s="28">
        <v>8</v>
      </c>
      <c r="E9" s="51">
        <f>_xlfn.XLOOKUP("Pork Butt",'Meat Prep'!$B:$B,'Meat Prep'!$J:$J,"")*(D9/16)</f>
        <v>1.5911197548250067</v>
      </c>
      <c r="F9" s="28"/>
      <c r="G9" s="51"/>
      <c r="H9" s="26">
        <v>2</v>
      </c>
      <c r="I9" s="51">
        <f>H9*'Meat Recipes'!$F$27</f>
        <v>0.28886915941139069</v>
      </c>
      <c r="J9" s="82" t="s">
        <v>84</v>
      </c>
      <c r="K9" s="51">
        <f t="shared" si="0"/>
        <v>0.73546875</v>
      </c>
      <c r="L9" s="82" t="s">
        <v>77</v>
      </c>
      <c r="M9" s="51">
        <f t="shared" si="1"/>
        <v>0.27303240740740742</v>
      </c>
      <c r="N9" s="53">
        <f>_xlfn.XLOOKUP(Packaging!B4,Packaging!B4,Packaging!E4)</f>
        <v>0.25590000000000002</v>
      </c>
      <c r="O9" s="55">
        <f t="shared" si="2"/>
        <v>3.1443900716438047</v>
      </c>
    </row>
    <row r="10" spans="2:15" ht="28.5" x14ac:dyDescent="0.25">
      <c r="B10" s="26" t="s">
        <v>94</v>
      </c>
      <c r="C10" s="27" t="s">
        <v>45</v>
      </c>
      <c r="D10" s="28">
        <v>8</v>
      </c>
      <c r="E10" s="51">
        <f>_xlfn.XLOOKUP("Pork Butt",'Meat Prep'!$B:$B,'Meat Prep'!$J:$J,"")*(D10/16)</f>
        <v>1.5911197548250067</v>
      </c>
      <c r="F10" s="28"/>
      <c r="G10" s="51"/>
      <c r="H10" s="26">
        <v>2</v>
      </c>
      <c r="I10" s="51">
        <f>H10*'Meat Recipes'!$F$27</f>
        <v>0.28886915941139069</v>
      </c>
      <c r="J10" s="82" t="s">
        <v>84</v>
      </c>
      <c r="K10" s="51">
        <f t="shared" si="0"/>
        <v>0.73546875</v>
      </c>
      <c r="L10" s="82" t="s">
        <v>150</v>
      </c>
      <c r="M10" s="51">
        <f t="shared" si="1"/>
        <v>0.45461538461538464</v>
      </c>
      <c r="N10" s="53">
        <f>_xlfn.XLOOKUP(Packaging!B4,Packaging!B4,Packaging!E4)</f>
        <v>0.25590000000000002</v>
      </c>
      <c r="O10" s="55">
        <f t="shared" si="2"/>
        <v>3.325973048851782</v>
      </c>
    </row>
    <row r="11" spans="2:15" ht="28.5" x14ac:dyDescent="0.25">
      <c r="B11" s="26" t="s">
        <v>95</v>
      </c>
      <c r="C11" s="27" t="s">
        <v>45</v>
      </c>
      <c r="D11" s="28">
        <v>8</v>
      </c>
      <c r="E11" s="51">
        <f>_xlfn.XLOOKUP("Pork Butt",'Meat Prep'!$B:$B,'Meat Prep'!$J:$J,"")*(D11/16)</f>
        <v>1.5911197548250067</v>
      </c>
      <c r="F11" s="28"/>
      <c r="G11" s="51"/>
      <c r="H11" s="26">
        <v>2</v>
      </c>
      <c r="I11" s="51">
        <f>H11*'Meat Recipes'!$F$27</f>
        <v>0.28886915941139069</v>
      </c>
      <c r="J11" s="82" t="s">
        <v>121</v>
      </c>
      <c r="K11" s="51">
        <f t="shared" si="0"/>
        <v>1.7237499999999999</v>
      </c>
      <c r="L11" s="82" t="s">
        <v>150</v>
      </c>
      <c r="M11" s="51">
        <f t="shared" si="1"/>
        <v>0.45461538461538464</v>
      </c>
      <c r="N11" s="53">
        <f>_xlfn.XLOOKUP(Packaging!B4,Packaging!B4,Packaging!E4)</f>
        <v>0.25590000000000002</v>
      </c>
      <c r="O11" s="55">
        <f t="shared" si="2"/>
        <v>4.3142542988517825</v>
      </c>
    </row>
    <row r="12" spans="2:15" x14ac:dyDescent="0.25">
      <c r="B12" s="26" t="s">
        <v>124</v>
      </c>
      <c r="C12" s="27" t="s">
        <v>45</v>
      </c>
      <c r="D12" s="28">
        <v>8</v>
      </c>
      <c r="E12" s="51">
        <f>_xlfn.XLOOKUP("Pork Butt",'Meat Prep'!$B:$B,'Meat Prep'!$J:$J,"")*(D12/16)</f>
        <v>1.5911197548250067</v>
      </c>
      <c r="F12" s="28"/>
      <c r="G12" s="51"/>
      <c r="H12" s="26">
        <v>2</v>
      </c>
      <c r="I12" s="51">
        <f>H12*'Meat Recipes'!$F$27</f>
        <v>0.28886915941139069</v>
      </c>
      <c r="J12" s="82" t="s">
        <v>77</v>
      </c>
      <c r="K12" s="51">
        <f t="shared" si="0"/>
        <v>0.27303240740740742</v>
      </c>
      <c r="L12" s="82" t="s">
        <v>83</v>
      </c>
      <c r="M12" s="51">
        <f t="shared" si="1"/>
        <v>1.0066071428571428</v>
      </c>
      <c r="N12" s="53">
        <f>_xlfn.XLOOKUP(Packaging!B4,Packaging!B4,Packaging!E4)</f>
        <v>0.25590000000000002</v>
      </c>
      <c r="O12" s="55">
        <f t="shared" si="2"/>
        <v>3.4155284645009476</v>
      </c>
    </row>
    <row r="13" spans="2:15" x14ac:dyDescent="0.25">
      <c r="B13" s="26"/>
      <c r="C13" s="27"/>
      <c r="D13" s="28"/>
      <c r="E13" s="51"/>
      <c r="F13" s="28"/>
      <c r="G13" s="51"/>
      <c r="H13" s="26"/>
      <c r="I13" s="51"/>
      <c r="J13" s="26"/>
      <c r="K13" s="51"/>
      <c r="L13" s="26"/>
      <c r="M13" s="51"/>
      <c r="N13" s="53"/>
      <c r="O13" s="55"/>
    </row>
    <row r="14" spans="2:15" x14ac:dyDescent="0.25">
      <c r="B14" s="26" t="s">
        <v>48</v>
      </c>
      <c r="C14" s="27" t="s">
        <v>49</v>
      </c>
      <c r="D14" s="28"/>
      <c r="E14" s="51">
        <f>_xlfn.XLOOKUP('Other recipes'!E44,'Other recipes'!E44,'Other recipes'!E44)</f>
        <v>1.8126987663013923</v>
      </c>
      <c r="F14" s="28"/>
      <c r="G14" s="51"/>
      <c r="H14" s="26">
        <v>2</v>
      </c>
      <c r="I14" s="51">
        <f>H14*'Meat Recipes'!$F$27</f>
        <v>0.28886915941139069</v>
      </c>
      <c r="J14" s="26"/>
      <c r="K14" s="51"/>
      <c r="L14" s="26"/>
      <c r="M14" s="51"/>
      <c r="N14" s="53">
        <f>_xlfn.XLOOKUP(Packaging!E8,Packaging!E8,Packaging!E8)</f>
        <v>6.1960000000000001E-2</v>
      </c>
      <c r="O14" s="55">
        <f t="shared" si="2"/>
        <v>2.1635279257127831</v>
      </c>
    </row>
    <row r="15" spans="2:15" x14ac:dyDescent="0.25">
      <c r="B15" s="26"/>
      <c r="C15" s="27"/>
      <c r="D15" s="28"/>
      <c r="E15" s="51"/>
      <c r="F15" s="28"/>
      <c r="G15" s="51"/>
      <c r="H15" s="26"/>
      <c r="I15" s="51"/>
      <c r="J15" s="26"/>
      <c r="K15" s="51"/>
      <c r="L15" s="26"/>
      <c r="M15" s="51"/>
      <c r="N15" s="53"/>
      <c r="O15" s="55"/>
    </row>
    <row r="16" spans="2:15" x14ac:dyDescent="0.25">
      <c r="B16" s="26" t="s">
        <v>43</v>
      </c>
      <c r="C16" s="27" t="s">
        <v>42</v>
      </c>
      <c r="D16" s="28">
        <v>6</v>
      </c>
      <c r="E16" s="51">
        <f>_xlfn.XLOOKUP("Brisket",'Meat Prep'!$B:$B,'Meat Prep'!$J:$J,"")*(D16/16)</f>
        <v>3.2008865184022328</v>
      </c>
      <c r="F16" s="28">
        <v>1</v>
      </c>
      <c r="G16" s="51">
        <f>F16*_xlfn.XLOOKUP("Franz Hawaiian buns",Ingredients!$B:$B,Ingredients!$H:$H,"")</f>
        <v>0.41583333333333333</v>
      </c>
      <c r="H16" s="26">
        <v>0</v>
      </c>
      <c r="I16" s="51">
        <f>H16*'Meat Recipes'!$F$27</f>
        <v>0</v>
      </c>
      <c r="J16" s="26"/>
      <c r="K16" s="51"/>
      <c r="L16" s="26"/>
      <c r="M16" s="51"/>
      <c r="N16" s="53">
        <f>_xlfn.XLOOKUP("BAGCRAFT 12X12 WHITE WAX GREASE RESISTANT WAX PAPER",Packaging!$B:$B,Packaging!$E:$E,"")</f>
        <v>2.2589999999999999E-2</v>
      </c>
      <c r="O16" s="55">
        <f t="shared" si="2"/>
        <v>3.6393098517355664</v>
      </c>
    </row>
    <row r="17" spans="2:15" x14ac:dyDescent="0.25">
      <c r="B17" s="26"/>
      <c r="C17" s="27"/>
      <c r="D17" s="28"/>
      <c r="E17" s="51"/>
      <c r="F17" s="28"/>
      <c r="G17" s="51"/>
      <c r="H17" s="26"/>
      <c r="I17" s="51"/>
      <c r="J17" s="26"/>
      <c r="K17" s="51"/>
      <c r="L17" s="26"/>
      <c r="M17" s="51"/>
      <c r="N17" s="53"/>
      <c r="O17" s="55"/>
    </row>
    <row r="18" spans="2:15" x14ac:dyDescent="0.25">
      <c r="B18" s="26" t="s">
        <v>96</v>
      </c>
      <c r="C18" s="6" t="s">
        <v>44</v>
      </c>
      <c r="D18" s="21">
        <v>6</v>
      </c>
      <c r="E18" s="52">
        <f>_xlfn.XLOOKUP("Brisket",'Meat Prep'!$B:$B,'Meat Prep'!$J:$J,"")*(D18/16)</f>
        <v>3.2008865184022328</v>
      </c>
      <c r="F18" s="21">
        <v>1</v>
      </c>
      <c r="G18" s="52">
        <f>F18*_xlfn.XLOOKUP("Franz Hawaiian buns",Ingredients!$B:$B,Ingredients!$H:$H,"")</f>
        <v>0.41583333333333333</v>
      </c>
      <c r="H18" s="4">
        <v>0</v>
      </c>
      <c r="I18" s="51">
        <f>H18*'Meat Recipes'!$F$27</f>
        <v>0</v>
      </c>
      <c r="J18" s="83" t="s">
        <v>77</v>
      </c>
      <c r="K18" s="51">
        <f t="shared" ref="K18:K25" si="3">_xlfn.XLOOKUP(J18,$B$37:$B$45,$E$37:$E$45,"")</f>
        <v>0.27303240740740742</v>
      </c>
      <c r="L18" s="83"/>
      <c r="M18" s="51">
        <f t="shared" ref="M18:M25" si="4">_xlfn.XLOOKUP(L18,$B$37:$B$45,$E$37:$E$45,"")</f>
        <v>0</v>
      </c>
      <c r="N18" s="54">
        <f>_xlfn.XLOOKUP(Packaging!E9,Packaging!E9,Packaging!E9)</f>
        <v>0.16526666666666667</v>
      </c>
      <c r="O18" s="55">
        <f t="shared" si="2"/>
        <v>4.055018925809641</v>
      </c>
    </row>
    <row r="19" spans="2:15" x14ac:dyDescent="0.25">
      <c r="B19" s="26" t="s">
        <v>97</v>
      </c>
      <c r="C19" s="6" t="s">
        <v>44</v>
      </c>
      <c r="D19" s="21">
        <v>6</v>
      </c>
      <c r="E19" s="52">
        <f>_xlfn.XLOOKUP("Brisket",'Meat Prep'!$B:$B,'Meat Prep'!$J:$J,"")*(D19/16)</f>
        <v>3.2008865184022328</v>
      </c>
      <c r="F19" s="21">
        <v>1</v>
      </c>
      <c r="G19" s="52">
        <f>F19*_xlfn.XLOOKUP("Franz Hawaiian buns",Ingredients!$B:$B,Ingredients!$H:$H,"")</f>
        <v>0.41583333333333333</v>
      </c>
      <c r="H19" s="4">
        <v>0</v>
      </c>
      <c r="I19" s="51">
        <f>H19*'Meat Recipes'!$F$27</f>
        <v>0</v>
      </c>
      <c r="J19" s="83" t="s">
        <v>84</v>
      </c>
      <c r="K19" s="51">
        <f t="shared" si="3"/>
        <v>0.73546875</v>
      </c>
      <c r="L19" s="83" t="s">
        <v>150</v>
      </c>
      <c r="M19" s="51">
        <f t="shared" si="4"/>
        <v>0.45461538461538464</v>
      </c>
      <c r="N19" s="54">
        <f>_xlfn.XLOOKUP(Packaging!B4,Packaging!B4,Packaging!E4)</f>
        <v>0.25590000000000002</v>
      </c>
      <c r="O19" s="55">
        <f t="shared" si="2"/>
        <v>5.0627039863509502</v>
      </c>
    </row>
    <row r="20" spans="2:15" x14ac:dyDescent="0.25">
      <c r="B20" s="26" t="s">
        <v>98</v>
      </c>
      <c r="C20" s="6" t="s">
        <v>44</v>
      </c>
      <c r="D20" s="21">
        <v>6</v>
      </c>
      <c r="E20" s="52">
        <f>_xlfn.XLOOKUP("Brisket",'Meat Prep'!$B:$B,'Meat Prep'!$J:$J,"")*(D20/16)</f>
        <v>3.2008865184022328</v>
      </c>
      <c r="F20" s="21">
        <v>1</v>
      </c>
      <c r="G20" s="52">
        <f>F20*_xlfn.XLOOKUP("Franz Hawaiian buns",Ingredients!$B:$B,Ingredients!$H:$H,"")</f>
        <v>0.41583333333333333</v>
      </c>
      <c r="H20" s="4">
        <v>0</v>
      </c>
      <c r="I20" s="51">
        <f>H20*'Meat Recipes'!$F$27</f>
        <v>0</v>
      </c>
      <c r="J20" s="83" t="s">
        <v>121</v>
      </c>
      <c r="K20" s="51">
        <f t="shared" si="3"/>
        <v>1.7237499999999999</v>
      </c>
      <c r="L20" s="83" t="s">
        <v>150</v>
      </c>
      <c r="M20" s="51">
        <f t="shared" si="4"/>
        <v>0.45461538461538464</v>
      </c>
      <c r="N20" s="54">
        <f>_xlfn.XLOOKUP(Packaging!B4,Packaging!B4,Packaging!E4)</f>
        <v>0.25590000000000002</v>
      </c>
      <c r="O20" s="55">
        <f t="shared" si="2"/>
        <v>6.0509852363509502</v>
      </c>
    </row>
    <row r="21" spans="2:15" x14ac:dyDescent="0.25">
      <c r="B21" s="26" t="s">
        <v>99</v>
      </c>
      <c r="C21" s="6" t="s">
        <v>44</v>
      </c>
      <c r="D21" s="21">
        <v>6</v>
      </c>
      <c r="E21" s="52">
        <f>_xlfn.XLOOKUP("Brisket",'Meat Prep'!$B:$B,'Meat Prep'!$J:$J,"")*(D21/16)</f>
        <v>3.2008865184022328</v>
      </c>
      <c r="F21" s="21">
        <v>1</v>
      </c>
      <c r="G21" s="52">
        <f>F21*_xlfn.XLOOKUP("Franz Hawaiian buns",Ingredients!$B:$B,Ingredients!$H:$H,"")</f>
        <v>0.41583333333333333</v>
      </c>
      <c r="H21" s="4">
        <v>0</v>
      </c>
      <c r="I21" s="51">
        <f>H21*'Meat Recipes'!$F$27</f>
        <v>0</v>
      </c>
      <c r="J21" s="83" t="s">
        <v>77</v>
      </c>
      <c r="K21" s="51">
        <f t="shared" si="3"/>
        <v>0.27303240740740742</v>
      </c>
      <c r="L21" s="83" t="s">
        <v>83</v>
      </c>
      <c r="M21" s="51">
        <f t="shared" si="4"/>
        <v>1.0066071428571428</v>
      </c>
      <c r="N21" s="54">
        <f>_xlfn.XLOOKUP(Packaging!B4,Packaging!B4,Packaging!E4)</f>
        <v>0.25590000000000002</v>
      </c>
      <c r="O21" s="55">
        <f t="shared" si="2"/>
        <v>5.1522594020001176</v>
      </c>
    </row>
    <row r="22" spans="2:15" ht="28.5" x14ac:dyDescent="0.25">
      <c r="B22" s="26" t="s">
        <v>103</v>
      </c>
      <c r="C22" s="27" t="s">
        <v>45</v>
      </c>
      <c r="D22" s="28">
        <v>8</v>
      </c>
      <c r="E22" s="51">
        <f>_xlfn.XLOOKUP("Brisket",'Meat Prep'!$B:$B,'Meat Prep'!$J:$J,"")*(D22/16)</f>
        <v>4.2678486912029774</v>
      </c>
      <c r="F22" s="28"/>
      <c r="G22" s="51"/>
      <c r="H22" s="26">
        <v>1</v>
      </c>
      <c r="I22" s="51">
        <f>H22*'Meat Recipes'!$F$27</f>
        <v>0.14443457970569534</v>
      </c>
      <c r="J22" s="82" t="s">
        <v>77</v>
      </c>
      <c r="K22" s="51">
        <f t="shared" si="3"/>
        <v>0.27303240740740742</v>
      </c>
      <c r="L22" s="82" t="s">
        <v>84</v>
      </c>
      <c r="M22" s="51">
        <f t="shared" si="4"/>
        <v>0.73546875</v>
      </c>
      <c r="N22" s="53">
        <f>_xlfn.XLOOKUP(Packaging!B4,Packaging!B4,Packaging!E4)</f>
        <v>0.25590000000000002</v>
      </c>
      <c r="O22" s="55">
        <f t="shared" si="2"/>
        <v>5.6766844283160793</v>
      </c>
    </row>
    <row r="23" spans="2:15" ht="28.5" x14ac:dyDescent="0.25">
      <c r="B23" s="26" t="s">
        <v>104</v>
      </c>
      <c r="C23" s="27" t="s">
        <v>45</v>
      </c>
      <c r="D23" s="28">
        <v>8</v>
      </c>
      <c r="E23" s="51">
        <f>_xlfn.XLOOKUP("Brisket",'Meat Prep'!$B:$B,'Meat Prep'!$J:$J,"")*(D23/16)</f>
        <v>4.2678486912029774</v>
      </c>
      <c r="F23" s="28"/>
      <c r="G23" s="51"/>
      <c r="H23" s="26">
        <v>1</v>
      </c>
      <c r="I23" s="51">
        <f>H23*'Meat Recipes'!$F$27</f>
        <v>0.14443457970569534</v>
      </c>
      <c r="J23" s="82" t="s">
        <v>84</v>
      </c>
      <c r="K23" s="51">
        <f t="shared" si="3"/>
        <v>0.73546875</v>
      </c>
      <c r="L23" s="82" t="s">
        <v>150</v>
      </c>
      <c r="M23" s="51">
        <f t="shared" si="4"/>
        <v>0.45461538461538464</v>
      </c>
      <c r="N23" s="53">
        <f>_xlfn.XLOOKUP(Packaging!B4,Packaging!B4,Packaging!E4)</f>
        <v>0.25590000000000002</v>
      </c>
      <c r="O23" s="55">
        <f t="shared" si="2"/>
        <v>5.8582674055240567</v>
      </c>
    </row>
    <row r="24" spans="2:15" ht="28.5" x14ac:dyDescent="0.25">
      <c r="B24" s="26" t="s">
        <v>105</v>
      </c>
      <c r="C24" s="27" t="s">
        <v>45</v>
      </c>
      <c r="D24" s="28">
        <v>8</v>
      </c>
      <c r="E24" s="51">
        <f>_xlfn.XLOOKUP("Brisket",'Meat Prep'!$B:$B,'Meat Prep'!$J:$J,"")*(D24/16)</f>
        <v>4.2678486912029774</v>
      </c>
      <c r="F24" s="28"/>
      <c r="G24" s="51"/>
      <c r="H24" s="26">
        <v>1</v>
      </c>
      <c r="I24" s="51">
        <f>H24*'Meat Recipes'!$F$27</f>
        <v>0.14443457970569534</v>
      </c>
      <c r="J24" s="82" t="s">
        <v>121</v>
      </c>
      <c r="K24" s="51">
        <f t="shared" si="3"/>
        <v>1.7237499999999999</v>
      </c>
      <c r="L24" s="82" t="s">
        <v>150</v>
      </c>
      <c r="M24" s="51">
        <f t="shared" si="4"/>
        <v>0.45461538461538464</v>
      </c>
      <c r="N24" s="53">
        <f>_xlfn.XLOOKUP(Packaging!B4,Packaging!B4,Packaging!E4)</f>
        <v>0.25590000000000002</v>
      </c>
      <c r="O24" s="55">
        <f t="shared" si="2"/>
        <v>6.8465486555240567</v>
      </c>
    </row>
    <row r="25" spans="2:15" x14ac:dyDescent="0.25">
      <c r="B25" s="26" t="s">
        <v>106</v>
      </c>
      <c r="C25" s="27" t="s">
        <v>45</v>
      </c>
      <c r="D25" s="28">
        <v>8</v>
      </c>
      <c r="E25" s="51">
        <f>_xlfn.XLOOKUP("Brisket",'Meat Prep'!$B:$B,'Meat Prep'!$J:$J,"")*(D25/16)</f>
        <v>4.2678486912029774</v>
      </c>
      <c r="F25" s="28"/>
      <c r="G25" s="51"/>
      <c r="H25" s="26">
        <v>1</v>
      </c>
      <c r="I25" s="51">
        <f>H25*'Meat Recipes'!$F$27</f>
        <v>0.14443457970569534</v>
      </c>
      <c r="J25" s="82" t="s">
        <v>77</v>
      </c>
      <c r="K25" s="51">
        <f t="shared" si="3"/>
        <v>0.27303240740740742</v>
      </c>
      <c r="L25" s="82" t="s">
        <v>83</v>
      </c>
      <c r="M25" s="51">
        <f t="shared" si="4"/>
        <v>1.0066071428571428</v>
      </c>
      <c r="N25" s="53">
        <f>_xlfn.XLOOKUP(Packaging!B4,Packaging!B4,Packaging!E4)</f>
        <v>0.25590000000000002</v>
      </c>
      <c r="O25" s="55">
        <f t="shared" si="2"/>
        <v>5.9478228211732223</v>
      </c>
    </row>
    <row r="26" spans="2:15" x14ac:dyDescent="0.25">
      <c r="B26" s="26"/>
      <c r="C26" s="27"/>
      <c r="D26" s="28"/>
      <c r="E26" s="51"/>
      <c r="F26" s="28"/>
      <c r="G26" s="51"/>
      <c r="H26" s="26"/>
      <c r="I26" s="51"/>
      <c r="J26" s="26"/>
      <c r="K26" s="51"/>
      <c r="L26" s="26"/>
      <c r="M26" s="51"/>
      <c r="N26" s="53"/>
      <c r="O26" s="55"/>
    </row>
    <row r="27" spans="2:15" ht="28.5" x14ac:dyDescent="0.25">
      <c r="B27" s="26" t="s">
        <v>127</v>
      </c>
      <c r="C27" s="27" t="s">
        <v>45</v>
      </c>
      <c r="D27" s="28">
        <v>6</v>
      </c>
      <c r="E27" s="51">
        <f>_xlfn.XLOOKUP('Meat Prep'!J5,'Meat Prep'!J5,'Meat Prep'!J5)*(D27/16)</f>
        <v>3.4114273036804468</v>
      </c>
      <c r="F27" s="28"/>
      <c r="G27" s="51"/>
      <c r="H27" s="26">
        <v>1</v>
      </c>
      <c r="I27" s="51">
        <f>H27*'Meat Recipes'!$F$27</f>
        <v>0.14443457970569534</v>
      </c>
      <c r="J27" s="82" t="s">
        <v>77</v>
      </c>
      <c r="K27" s="51">
        <f>_xlfn.XLOOKUP(J27,$B$37:$B$45,$E$37:$E$45,"")</f>
        <v>0.27303240740740742</v>
      </c>
      <c r="L27" s="82" t="s">
        <v>84</v>
      </c>
      <c r="M27" s="51">
        <f>_xlfn.XLOOKUP(L27,$B$37:$B$45,$E$37:$E$45,"")</f>
        <v>0.73546875</v>
      </c>
      <c r="N27" s="53">
        <f>_xlfn.XLOOKUP(Packaging!B4,Packaging!B4,Packaging!E4)</f>
        <v>0.25590000000000002</v>
      </c>
      <c r="O27" s="55">
        <f t="shared" si="2"/>
        <v>4.8202630407935505</v>
      </c>
    </row>
    <row r="28" spans="2:15" ht="28.5" x14ac:dyDescent="0.25">
      <c r="B28" s="26" t="s">
        <v>128</v>
      </c>
      <c r="C28" s="27" t="s">
        <v>45</v>
      </c>
      <c r="D28" s="28">
        <v>6</v>
      </c>
      <c r="E28" s="51">
        <f>_xlfn.XLOOKUP('Meat Prep'!J5,'Meat Prep'!J5,'Meat Prep'!J5)*(D28/16)</f>
        <v>3.4114273036804468</v>
      </c>
      <c r="F28" s="28"/>
      <c r="G28" s="51"/>
      <c r="H28" s="26">
        <v>1</v>
      </c>
      <c r="I28" s="51">
        <f>H28*'Meat Recipes'!$F$27</f>
        <v>0.14443457970569534</v>
      </c>
      <c r="J28" s="82" t="s">
        <v>84</v>
      </c>
      <c r="K28" s="51">
        <f>_xlfn.XLOOKUP(J28,$B$37:$B$45,$E$37:$E$45,"")</f>
        <v>0.73546875</v>
      </c>
      <c r="L28" s="82" t="s">
        <v>150</v>
      </c>
      <c r="M28" s="51">
        <f>_xlfn.XLOOKUP(L28,$B$37:$B$45,$E$37:$E$45,"")</f>
        <v>0.45461538461538464</v>
      </c>
      <c r="N28" s="53">
        <f>_xlfn.XLOOKUP(Packaging!B4,Packaging!B4,Packaging!E4)</f>
        <v>0.25590000000000002</v>
      </c>
      <c r="O28" s="55">
        <f t="shared" si="2"/>
        <v>5.0018460180015261</v>
      </c>
    </row>
    <row r="29" spans="2:15" ht="28.5" x14ac:dyDescent="0.25">
      <c r="B29" s="26" t="s">
        <v>129</v>
      </c>
      <c r="C29" s="27" t="s">
        <v>45</v>
      </c>
      <c r="D29" s="28">
        <v>6</v>
      </c>
      <c r="E29" s="51">
        <f>_xlfn.XLOOKUP('Meat Prep'!J5,'Meat Prep'!J5,'Meat Prep'!J5)*(D29/16)</f>
        <v>3.4114273036804468</v>
      </c>
      <c r="F29" s="28"/>
      <c r="G29" s="51"/>
      <c r="H29" s="26">
        <v>1</v>
      </c>
      <c r="I29" s="51">
        <f>H29*'Meat Recipes'!$F$27</f>
        <v>0.14443457970569534</v>
      </c>
      <c r="J29" s="82" t="s">
        <v>121</v>
      </c>
      <c r="K29" s="51">
        <f>_xlfn.XLOOKUP(J29,$B$37:$B$45,$E$37:$E$45,"")</f>
        <v>1.7237499999999999</v>
      </c>
      <c r="L29" s="82" t="s">
        <v>150</v>
      </c>
      <c r="M29" s="51">
        <f>_xlfn.XLOOKUP(L29,$B$37:$B$45,$E$37:$E$45,"")</f>
        <v>0.45461538461538464</v>
      </c>
      <c r="N29" s="53">
        <f>_xlfn.XLOOKUP(Packaging!B4,Packaging!B4,Packaging!E4)</f>
        <v>0.25590000000000002</v>
      </c>
      <c r="O29" s="55">
        <f t="shared" si="2"/>
        <v>5.9901272680015261</v>
      </c>
    </row>
    <row r="30" spans="2:15" x14ac:dyDescent="0.25">
      <c r="B30" s="26" t="s">
        <v>130</v>
      </c>
      <c r="C30" s="27" t="s">
        <v>45</v>
      </c>
      <c r="D30" s="28">
        <v>6</v>
      </c>
      <c r="E30" s="51">
        <f>_xlfn.XLOOKUP('Meat Prep'!J5,'Meat Prep'!J5,'Meat Prep'!J5)*(D30/16)</f>
        <v>3.4114273036804468</v>
      </c>
      <c r="F30" s="28"/>
      <c r="G30" s="51"/>
      <c r="H30" s="26">
        <v>1</v>
      </c>
      <c r="I30" s="51">
        <f>H30*'Meat Recipes'!$F$27</f>
        <v>0.14443457970569534</v>
      </c>
      <c r="J30" s="82" t="s">
        <v>77</v>
      </c>
      <c r="K30" s="51">
        <f>_xlfn.XLOOKUP(J30,$B$37:$B$45,$E$37:$E$45,"")</f>
        <v>0.27303240740740742</v>
      </c>
      <c r="L30" s="82" t="s">
        <v>83</v>
      </c>
      <c r="M30" s="51">
        <f>_xlfn.XLOOKUP(L30,$B$37:$B$45,$E$37:$E$45,"")</f>
        <v>1.0066071428571428</v>
      </c>
      <c r="N30" s="53">
        <f>_xlfn.XLOOKUP(Packaging!B4,Packaging!B4,Packaging!E4)</f>
        <v>0.25590000000000002</v>
      </c>
      <c r="O30" s="55">
        <f t="shared" si="2"/>
        <v>5.0914014336506934</v>
      </c>
    </row>
    <row r="31" spans="2:15" x14ac:dyDescent="0.25">
      <c r="B31" s="26"/>
      <c r="C31" s="27"/>
      <c r="D31" s="28"/>
      <c r="E31" s="51"/>
      <c r="F31" s="28"/>
      <c r="G31" s="51"/>
      <c r="H31" s="26"/>
      <c r="I31" s="51"/>
      <c r="J31" s="26"/>
      <c r="K31" s="51"/>
      <c r="L31" s="26"/>
      <c r="M31" s="51"/>
      <c r="N31" s="53"/>
      <c r="O31" s="55"/>
    </row>
    <row r="32" spans="2:15" ht="28.5" x14ac:dyDescent="0.25">
      <c r="B32" s="26" t="s">
        <v>162</v>
      </c>
      <c r="C32" s="27" t="s">
        <v>45</v>
      </c>
      <c r="D32" s="28">
        <v>10</v>
      </c>
      <c r="E32" s="51">
        <f>_xlfn.XLOOKUP('Meat Prep'!J6,'Meat Prep'!J6,'Meat Prep'!J6)*(D32/16)</f>
        <v>0.63114569090136041</v>
      </c>
      <c r="F32" s="28"/>
      <c r="G32" s="51"/>
      <c r="H32" s="26">
        <v>2</v>
      </c>
      <c r="I32" s="51">
        <f>H32*'Meat Recipes'!$F$27</f>
        <v>0.28886915941139069</v>
      </c>
      <c r="J32" s="82" t="s">
        <v>77</v>
      </c>
      <c r="K32" s="51">
        <f>_xlfn.XLOOKUP(J32,$B$37:$B$45,$E$37:$E$45,"")</f>
        <v>0.27303240740740742</v>
      </c>
      <c r="L32" s="82" t="s">
        <v>84</v>
      </c>
      <c r="M32" s="51">
        <f>_xlfn.XLOOKUP(L32,$B$37:$B$45,$E$37:$E$45,"")</f>
        <v>0.73546875</v>
      </c>
      <c r="N32" s="53">
        <f>_xlfn.XLOOKUP(Packaging!B4,Packaging!B4,Packaging!E4)</f>
        <v>0.25590000000000002</v>
      </c>
      <c r="O32" s="55">
        <f t="shared" si="2"/>
        <v>2.1844160077201584</v>
      </c>
    </row>
    <row r="33" spans="2:15" ht="28.5" x14ac:dyDescent="0.25">
      <c r="B33" s="26" t="s">
        <v>163</v>
      </c>
      <c r="C33" s="27" t="s">
        <v>45</v>
      </c>
      <c r="D33" s="28">
        <v>10</v>
      </c>
      <c r="E33" s="51">
        <f>_xlfn.XLOOKUP('Meat Prep'!J6,'Meat Prep'!J6,'Meat Prep'!J6)*(D33/16)</f>
        <v>0.63114569090136041</v>
      </c>
      <c r="F33" s="28"/>
      <c r="G33" s="51"/>
      <c r="H33" s="26">
        <v>2</v>
      </c>
      <c r="I33" s="51">
        <f>H33*'Meat Recipes'!$F$27</f>
        <v>0.28886915941139069</v>
      </c>
      <c r="J33" s="92" t="s">
        <v>84</v>
      </c>
      <c r="K33" s="88">
        <f>_xlfn.XLOOKUP(J33,$B$37:$B$45,$E$37:$E$45,"")</f>
        <v>0.73546875</v>
      </c>
      <c r="L33" s="92" t="s">
        <v>150</v>
      </c>
      <c r="M33" s="88">
        <f>_xlfn.XLOOKUP(L33,$B$37:$B$45,$E$37:$E$45,"")</f>
        <v>0.45461538461538464</v>
      </c>
      <c r="N33" s="90">
        <f>_xlfn.XLOOKUP(Packaging!B4,Packaging!B4,Packaging!E4)</f>
        <v>0.25590000000000002</v>
      </c>
      <c r="O33" s="55">
        <f t="shared" si="2"/>
        <v>2.3659989849281358</v>
      </c>
    </row>
    <row r="34" spans="2:15" ht="28.5" x14ac:dyDescent="0.25">
      <c r="B34" s="26" t="s">
        <v>164</v>
      </c>
      <c r="C34" s="27" t="s">
        <v>45</v>
      </c>
      <c r="D34" s="28">
        <v>10</v>
      </c>
      <c r="E34" s="88">
        <f>_xlfn.XLOOKUP('Meat Prep'!J6,'Meat Prep'!J6,'Meat Prep'!J6)*(D34/16)</f>
        <v>0.63114569090136041</v>
      </c>
      <c r="F34" s="94"/>
      <c r="G34" s="88"/>
      <c r="H34" s="89">
        <v>2</v>
      </c>
      <c r="I34" s="51">
        <f>H34*'Meat Recipes'!$F$27</f>
        <v>0.28886915941139069</v>
      </c>
      <c r="J34" s="82" t="s">
        <v>121</v>
      </c>
      <c r="K34" s="88">
        <f>_xlfn.XLOOKUP(J34,$B$37:$B$45,$E$37:$E$45,"")</f>
        <v>1.7237499999999999</v>
      </c>
      <c r="L34" s="82" t="s">
        <v>150</v>
      </c>
      <c r="M34" s="88">
        <f>_xlfn.XLOOKUP(L34,$B$37:$B$45,$E$37:$E$45,"")</f>
        <v>0.45461538461538464</v>
      </c>
      <c r="N34" s="90">
        <f>_xlfn.XLOOKUP(Packaging!B4,Packaging!B4,Packaging!E4)</f>
        <v>0.25590000000000002</v>
      </c>
      <c r="O34" s="55">
        <f t="shared" si="2"/>
        <v>3.3542802349281353</v>
      </c>
    </row>
    <row r="35" spans="2:15" x14ac:dyDescent="0.25">
      <c r="B35" s="26" t="s">
        <v>165</v>
      </c>
      <c r="C35" s="27" t="s">
        <v>45</v>
      </c>
      <c r="D35" s="98">
        <v>10</v>
      </c>
      <c r="E35" s="51">
        <f>_xlfn.XLOOKUP('Meat Prep'!J6,'Meat Prep'!J6,'Meat Prep'!J6)*(D35/16)</f>
        <v>0.63114569090136041</v>
      </c>
      <c r="F35" s="28"/>
      <c r="G35" s="51"/>
      <c r="H35" s="26">
        <v>2</v>
      </c>
      <c r="I35" s="51">
        <f>H35*'Meat Recipes'!$F$27</f>
        <v>0.28886915941139069</v>
      </c>
      <c r="J35" s="82" t="s">
        <v>77</v>
      </c>
      <c r="K35" s="88">
        <f>_xlfn.XLOOKUP(J35,$B$37:$B$45,$E$37:$E$45,"")</f>
        <v>0.27303240740740742</v>
      </c>
      <c r="L35" s="82" t="s">
        <v>83</v>
      </c>
      <c r="M35" s="88">
        <f>_xlfn.XLOOKUP(L35,$B$37:$B$45,$E$37:$E$45,"")</f>
        <v>1.0066071428571428</v>
      </c>
      <c r="N35" s="90">
        <f>_xlfn.XLOOKUP(Packaging!B4,Packaging!B4,Packaging!E4)</f>
        <v>0.25590000000000002</v>
      </c>
      <c r="O35" s="55">
        <f t="shared" si="2"/>
        <v>2.4555544005773013</v>
      </c>
    </row>
    <row r="36" spans="2:15" x14ac:dyDescent="0.25">
      <c r="B36" s="26"/>
      <c r="C36" s="93"/>
      <c r="D36" s="94"/>
      <c r="E36" s="95"/>
      <c r="F36" s="96"/>
      <c r="G36" s="95"/>
      <c r="H36" s="97"/>
      <c r="I36" s="51"/>
      <c r="J36" s="26"/>
      <c r="K36" s="51"/>
      <c r="L36" s="26"/>
      <c r="M36" s="51"/>
      <c r="N36" s="53"/>
      <c r="O36" s="55"/>
    </row>
    <row r="37" spans="2:15" ht="15.75" thickBot="1" x14ac:dyDescent="0.3">
      <c r="B37" s="124" t="s">
        <v>76</v>
      </c>
      <c r="C37" s="122"/>
      <c r="D37" s="122"/>
      <c r="E37" s="122"/>
      <c r="F37" s="123"/>
      <c r="G37" s="122"/>
      <c r="H37" s="122"/>
      <c r="I37" s="135"/>
      <c r="J37" s="136"/>
      <c r="K37" s="136"/>
      <c r="L37" s="136"/>
      <c r="M37" s="136"/>
      <c r="N37" s="136"/>
      <c r="O37" s="136"/>
    </row>
    <row r="38" spans="2:15" x14ac:dyDescent="0.25">
      <c r="B38" s="61" t="s">
        <v>26</v>
      </c>
      <c r="C38" s="60" t="s">
        <v>76</v>
      </c>
      <c r="D38" s="99">
        <v>1</v>
      </c>
      <c r="E38" s="75">
        <f>_xlfn.XLOOKUP(B38,Ingredients!B21,Ingredients!H21)</f>
        <v>0.29298611111111111</v>
      </c>
      <c r="F38" s="99"/>
      <c r="G38" s="60"/>
      <c r="H38" s="61"/>
      <c r="I38" s="60"/>
      <c r="J38" s="61"/>
      <c r="K38" s="60"/>
      <c r="L38" s="61"/>
      <c r="M38" s="60"/>
      <c r="N38" s="61"/>
      <c r="O38" s="60"/>
    </row>
    <row r="39" spans="2:15" x14ac:dyDescent="0.25">
      <c r="B39" s="4" t="s">
        <v>77</v>
      </c>
      <c r="C39" s="6" t="s">
        <v>76</v>
      </c>
      <c r="D39" s="21">
        <v>5</v>
      </c>
      <c r="E39" s="52">
        <f>_xlfn.XLOOKUP(B39,Ingredients!$B$10:$B$49,Ingredients!$H$10:$H$49)*D39</f>
        <v>0.27303240740740742</v>
      </c>
      <c r="F39" s="21"/>
      <c r="G39" s="6"/>
      <c r="H39" s="4"/>
      <c r="I39" s="6"/>
      <c r="J39" s="4"/>
      <c r="K39" s="6"/>
      <c r="L39" s="4"/>
      <c r="M39" s="6"/>
      <c r="N39" s="4"/>
      <c r="O39" s="6"/>
    </row>
    <row r="40" spans="2:15" x14ac:dyDescent="0.25">
      <c r="B40" s="4" t="s">
        <v>150</v>
      </c>
      <c r="C40" s="6" t="s">
        <v>76</v>
      </c>
      <c r="D40" s="21">
        <v>6</v>
      </c>
      <c r="E40" s="52">
        <f>_xlfn.XLOOKUP(B40,Ingredients!$B$10:$B$49,Ingredients!$H$10:$H$49)*D40</f>
        <v>0.45461538461538464</v>
      </c>
      <c r="F40" s="21"/>
      <c r="G40" s="6"/>
      <c r="H40" s="4"/>
      <c r="I40" s="6"/>
      <c r="J40" s="4"/>
      <c r="K40" s="6"/>
      <c r="L40" s="4"/>
      <c r="M40" s="6"/>
      <c r="N40" s="4"/>
      <c r="O40" s="6"/>
    </row>
    <row r="41" spans="2:15" x14ac:dyDescent="0.25">
      <c r="B41" s="4" t="s">
        <v>83</v>
      </c>
      <c r="C41" s="6" t="s">
        <v>76</v>
      </c>
      <c r="D41" s="21">
        <v>6</v>
      </c>
      <c r="E41" s="52">
        <f>_xlfn.XLOOKUP(B41,Ingredients!$B$10:$B$49,Ingredients!$H$10:$H$49)*D41</f>
        <v>1.0066071428571428</v>
      </c>
      <c r="F41" s="21"/>
      <c r="G41" s="6"/>
      <c r="H41" s="4"/>
      <c r="I41" s="6"/>
      <c r="J41" s="4"/>
      <c r="K41" s="6"/>
      <c r="L41" s="4"/>
      <c r="M41" s="6"/>
      <c r="N41" s="4"/>
      <c r="O41" s="6"/>
    </row>
    <row r="42" spans="2:15" x14ac:dyDescent="0.25">
      <c r="B42" s="4" t="s">
        <v>84</v>
      </c>
      <c r="C42" s="6" t="s">
        <v>76</v>
      </c>
      <c r="D42" s="21">
        <v>6</v>
      </c>
      <c r="E42" s="52">
        <f>_xlfn.XLOOKUP(B42,Ingredients!$B$10:$B$49,Ingredients!$H$10:$H$49)*D42</f>
        <v>0.73546875</v>
      </c>
      <c r="F42" s="21"/>
      <c r="G42" s="6"/>
      <c r="H42" s="4"/>
      <c r="I42" s="6"/>
      <c r="J42" s="4"/>
      <c r="K42" s="6"/>
      <c r="L42" s="4"/>
      <c r="M42" s="6"/>
      <c r="N42" s="4"/>
      <c r="O42" s="6"/>
    </row>
    <row r="43" spans="2:15" x14ac:dyDescent="0.25">
      <c r="B43" s="4" t="s">
        <v>121</v>
      </c>
      <c r="C43" s="6" t="s">
        <v>76</v>
      </c>
      <c r="D43" s="21">
        <v>5</v>
      </c>
      <c r="E43" s="52">
        <f>_xlfn.XLOOKUP(B43,Ingredients!$B$10:$B$49,Ingredients!$H$10:$H$49)*D43</f>
        <v>1.7237499999999999</v>
      </c>
      <c r="F43" s="76"/>
      <c r="G43" s="7"/>
      <c r="H43" s="5"/>
      <c r="I43" s="7"/>
      <c r="J43" s="5"/>
      <c r="K43" s="7"/>
      <c r="L43" s="5"/>
      <c r="M43" s="7"/>
      <c r="N43" s="5"/>
      <c r="O43" s="7"/>
    </row>
    <row r="44" spans="2:15" x14ac:dyDescent="0.25">
      <c r="B44" s="5"/>
      <c r="C44" s="7"/>
      <c r="D44" s="76"/>
      <c r="E44" s="7"/>
      <c r="F44" s="76"/>
      <c r="G44" s="7"/>
      <c r="H44" s="5"/>
      <c r="I44" s="7"/>
      <c r="J44" s="5"/>
      <c r="K44" s="7"/>
      <c r="L44" s="5"/>
      <c r="M44" s="7"/>
      <c r="N44" s="5"/>
      <c r="O44" s="7"/>
    </row>
    <row r="45" spans="2:15" x14ac:dyDescent="0.25">
      <c r="B45" s="4"/>
      <c r="C45" s="6"/>
      <c r="D45" s="21"/>
      <c r="E45" s="6"/>
      <c r="F45" s="21"/>
      <c r="G45" s="6"/>
      <c r="H45" s="4"/>
      <c r="I45" s="6"/>
      <c r="J45" s="4"/>
      <c r="K45" s="6"/>
      <c r="L45" s="4"/>
      <c r="M45" s="6"/>
      <c r="N45" s="4"/>
      <c r="O45" s="6"/>
    </row>
    <row r="46" spans="2:15" ht="15.75" thickBot="1" x14ac:dyDescent="0.3">
      <c r="B46" s="137" t="s">
        <v>70</v>
      </c>
      <c r="C46" s="138"/>
      <c r="D46" s="139"/>
      <c r="E46" s="140"/>
      <c r="F46" s="139"/>
      <c r="G46" s="140"/>
      <c r="H46" s="138"/>
      <c r="I46" s="140"/>
      <c r="J46" s="138"/>
      <c r="K46" s="138"/>
      <c r="L46" s="138"/>
      <c r="M46" s="138"/>
      <c r="N46" s="140"/>
      <c r="O46" s="141"/>
    </row>
    <row r="47" spans="2:15" x14ac:dyDescent="0.25">
      <c r="B47" s="56" t="s">
        <v>46</v>
      </c>
      <c r="C47" s="57" t="s">
        <v>47</v>
      </c>
      <c r="D47" s="58">
        <v>5</v>
      </c>
      <c r="E47" s="59">
        <f>_xlfn.XLOOKUP(B47,'Other recipes'!B2,'Other recipes'!F13)</f>
        <v>1.052834375</v>
      </c>
      <c r="F47" s="58"/>
      <c r="G47" s="59"/>
      <c r="H47" s="56"/>
      <c r="I47" s="57"/>
      <c r="J47" s="56"/>
      <c r="K47" s="57"/>
      <c r="L47" s="56"/>
      <c r="M47" s="60"/>
      <c r="N47" s="61"/>
      <c r="O47" s="75">
        <f>_xlfn.XLOOKUP(B47,'Other recipes'!B2,'Other recipes'!F13)</f>
        <v>1.052834375</v>
      </c>
    </row>
    <row r="48" spans="2:15" x14ac:dyDescent="0.25">
      <c r="B48" s="4" t="s">
        <v>78</v>
      </c>
      <c r="C48" s="57" t="s">
        <v>47</v>
      </c>
      <c r="D48" s="21">
        <v>5</v>
      </c>
      <c r="E48" s="52">
        <f>_xlfn.XLOOKUP(B48,'Other recipes'!B15,'Other recipes'!F27)</f>
        <v>1.0027788194444442</v>
      </c>
      <c r="F48" s="21"/>
      <c r="G48" s="6"/>
      <c r="H48" s="4"/>
      <c r="I48" s="6"/>
      <c r="J48" s="4"/>
      <c r="K48" s="6"/>
      <c r="L48" s="4"/>
      <c r="M48" s="6"/>
      <c r="N48" s="4"/>
      <c r="O48" s="52">
        <f>_xlfn.XLOOKUP(B48,'Other recipes'!B15,'Other recipes'!F27)</f>
        <v>1.0027788194444442</v>
      </c>
    </row>
    <row r="49" spans="2:15" x14ac:dyDescent="0.25">
      <c r="B49" s="4" t="s">
        <v>82</v>
      </c>
      <c r="C49" s="57" t="s">
        <v>47</v>
      </c>
      <c r="D49" s="21">
        <v>5</v>
      </c>
      <c r="E49" s="52">
        <f>_xlfn.XLOOKUP(B49,'Other recipes'!B29,'Other recipes'!F35)</f>
        <v>0.73480922619047628</v>
      </c>
      <c r="F49" s="21"/>
      <c r="G49" s="6"/>
      <c r="H49" s="4"/>
      <c r="I49" s="6"/>
      <c r="J49" s="4"/>
      <c r="K49" s="6"/>
      <c r="L49" s="4"/>
      <c r="M49" s="6"/>
      <c r="N49" s="4"/>
      <c r="O49" s="52">
        <f>_xlfn.XLOOKUP(B49,'Other recipes'!B29,'Other recipes'!F35)</f>
        <v>0.73480922619047628</v>
      </c>
    </row>
    <row r="50" spans="2:15" x14ac:dyDescent="0.25">
      <c r="B50" s="4"/>
      <c r="C50" s="6"/>
      <c r="D50" s="21"/>
      <c r="E50" s="52"/>
      <c r="F50" s="21"/>
      <c r="G50" s="6"/>
      <c r="H50" s="4"/>
      <c r="I50" s="6"/>
      <c r="J50" s="4"/>
      <c r="K50" s="6"/>
      <c r="L50" s="4"/>
      <c r="M50" s="6"/>
      <c r="N50" s="4"/>
      <c r="O50" s="52"/>
    </row>
    <row r="51" spans="2:15" x14ac:dyDescent="0.25">
      <c r="B51" s="4"/>
      <c r="C51" s="6"/>
      <c r="D51" s="21"/>
      <c r="E51" s="52"/>
      <c r="F51" s="21"/>
      <c r="G51" s="6"/>
      <c r="H51" s="4"/>
      <c r="I51" s="6"/>
      <c r="J51" s="4"/>
      <c r="K51" s="6"/>
      <c r="L51" s="4"/>
      <c r="M51" s="6"/>
      <c r="N51" s="4"/>
      <c r="O51" s="52"/>
    </row>
    <row r="52" spans="2:15" ht="15.75" thickBot="1" x14ac:dyDescent="0.3">
      <c r="B52" s="124" t="s">
        <v>153</v>
      </c>
      <c r="C52" s="122"/>
      <c r="D52" s="122"/>
      <c r="E52" s="142"/>
      <c r="F52" s="123"/>
      <c r="G52" s="122"/>
      <c r="H52" s="122"/>
      <c r="I52" s="122"/>
      <c r="J52" s="143"/>
      <c r="K52" s="143"/>
      <c r="L52" s="143"/>
      <c r="M52" s="143"/>
      <c r="N52" s="143"/>
      <c r="O52" s="143"/>
    </row>
    <row r="53" spans="2:15" x14ac:dyDescent="0.25">
      <c r="B53" s="4" t="s">
        <v>54</v>
      </c>
      <c r="C53" s="6" t="s">
        <v>85</v>
      </c>
      <c r="D53" s="21">
        <v>1.5</v>
      </c>
      <c r="E53" s="52">
        <f>_xlfn.XLOOKUP(B53,'Meat Recipes'!C18,'Meat Recipes'!F28)</f>
        <v>0.25093186955854302</v>
      </c>
      <c r="F53" s="21"/>
      <c r="G53" s="6"/>
      <c r="H53" s="4"/>
      <c r="I53" s="6"/>
      <c r="J53" s="5"/>
      <c r="K53" s="7"/>
      <c r="L53" s="5"/>
      <c r="M53" s="7"/>
      <c r="N53" s="5"/>
      <c r="O53" s="35">
        <f>_xlfn.XLOOKUP('Meat Recipes'!F28,'Meat Recipes'!F28,'Meat Recipes'!F28)</f>
        <v>0.25093186955854302</v>
      </c>
    </row>
    <row r="54" spans="2:15" x14ac:dyDescent="0.25">
      <c r="B54" s="5"/>
      <c r="C54" s="7"/>
      <c r="D54" s="5"/>
      <c r="E54" s="7"/>
      <c r="F54" s="76"/>
      <c r="G54" s="7"/>
      <c r="H54" s="5"/>
      <c r="I54" s="7"/>
      <c r="J54" s="5"/>
      <c r="K54" s="7"/>
      <c r="L54" s="5"/>
      <c r="M54" s="7"/>
      <c r="N54" s="5"/>
      <c r="O54" s="7"/>
    </row>
    <row r="55" spans="2:15" x14ac:dyDescent="0.25">
      <c r="B55" s="5"/>
      <c r="C55" s="7"/>
      <c r="D55" s="5"/>
      <c r="E55" s="7"/>
      <c r="F55" s="76"/>
      <c r="G55" s="7"/>
      <c r="H55" s="5"/>
      <c r="I55" s="7"/>
      <c r="J55" s="5"/>
      <c r="K55" s="7"/>
      <c r="L55" s="5"/>
      <c r="M55" s="7"/>
      <c r="N55" s="5"/>
      <c r="O55" s="7"/>
    </row>
  </sheetData>
  <phoneticPr fontId="8" type="noConversion"/>
  <dataValidations count="1">
    <dataValidation type="list" allowBlank="1" showInputMessage="1" showErrorMessage="1" sqref="L5:L12 J4:J12 J18:J30 L18:L30 L32:L35 J32:J35" xr:uid="{7BBE5E91-A084-42F9-AADF-3337E00A776C}">
      <formula1>$B$38:$B$45</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62CCB-0321-4DC0-80B0-AC65D31D914E}">
  <dimension ref="B2:H42"/>
  <sheetViews>
    <sheetView tabSelected="1" workbookViewId="0">
      <selection activeCell="C4" sqref="C4"/>
    </sheetView>
  </sheetViews>
  <sheetFormatPr defaultRowHeight="15" x14ac:dyDescent="0.25"/>
  <cols>
    <col min="2" max="2" width="27.28515625" customWidth="1"/>
    <col min="3" max="3" width="16" customWidth="1"/>
    <col min="4" max="4" width="17.85546875" customWidth="1"/>
    <col min="5" max="5" width="17.7109375" customWidth="1"/>
    <col min="6" max="6" width="16.28515625" customWidth="1"/>
    <col min="7" max="7" width="15.7109375" customWidth="1"/>
    <col min="8" max="8" width="12.28515625" customWidth="1"/>
  </cols>
  <sheetData>
    <row r="2" spans="2:8" x14ac:dyDescent="0.25">
      <c r="B2" s="132" t="s">
        <v>170</v>
      </c>
      <c r="C2" s="161">
        <v>0.3</v>
      </c>
    </row>
    <row r="3" spans="2:8" ht="30" thickBot="1" x14ac:dyDescent="0.3">
      <c r="B3" s="124" t="s">
        <v>35</v>
      </c>
      <c r="C3" s="125" t="s">
        <v>40</v>
      </c>
      <c r="D3" s="126" t="s">
        <v>86</v>
      </c>
      <c r="E3" s="126" t="s">
        <v>87</v>
      </c>
      <c r="F3" s="126" t="s">
        <v>139</v>
      </c>
      <c r="G3" s="126" t="s">
        <v>88</v>
      </c>
      <c r="H3" s="126" t="s">
        <v>140</v>
      </c>
    </row>
    <row r="4" spans="2:8" x14ac:dyDescent="0.25">
      <c r="B4" s="81" t="s">
        <v>41</v>
      </c>
      <c r="C4" s="101">
        <f>('Menu items'!O3)</f>
        <v>1.7761977291577837</v>
      </c>
      <c r="D4" s="102">
        <f>SUM(C4/$C$2)</f>
        <v>5.9206590971926127</v>
      </c>
      <c r="E4" s="101">
        <v>6</v>
      </c>
      <c r="F4" s="103">
        <f t="shared" ref="F4:F12" si="0">SUM(E4-C4)</f>
        <v>4.2238022708422163</v>
      </c>
      <c r="G4" s="104">
        <f t="shared" ref="G4:G12" si="1">SUM(C4/E4)</f>
        <v>0.2960329548596306</v>
      </c>
      <c r="H4" s="105">
        <f t="shared" ref="H4:H12" si="2">(E4-C4)/E4</f>
        <v>0.70396704514036934</v>
      </c>
    </row>
    <row r="5" spans="2:8" x14ac:dyDescent="0.25">
      <c r="B5" s="4" t="s">
        <v>100</v>
      </c>
      <c r="C5" s="106">
        <f>('Menu items'!O5)</f>
        <v>2.0474722235261624</v>
      </c>
      <c r="D5" s="102">
        <f>SUM(C5/$C$2)</f>
        <v>6.8249074117538751</v>
      </c>
      <c r="E5" s="106">
        <v>7</v>
      </c>
      <c r="F5" s="103">
        <f t="shared" si="0"/>
        <v>4.952527776473838</v>
      </c>
      <c r="G5" s="104">
        <f t="shared" si="1"/>
        <v>0.29249603193230894</v>
      </c>
      <c r="H5" s="105">
        <f t="shared" si="2"/>
        <v>0.70750396806769111</v>
      </c>
    </row>
    <row r="6" spans="2:8" x14ac:dyDescent="0.25">
      <c r="B6" s="4" t="s">
        <v>101</v>
      </c>
      <c r="C6" s="106">
        <f>('Menu items'!O6)</f>
        <v>3.0551572840674726</v>
      </c>
      <c r="D6" s="102">
        <f t="shared" ref="D6:D40" si="3">SUM(C6/$C$2)</f>
        <v>10.183857613558242</v>
      </c>
      <c r="E6" s="106">
        <v>13</v>
      </c>
      <c r="F6" s="103">
        <f t="shared" si="0"/>
        <v>9.944842715932527</v>
      </c>
      <c r="G6" s="104">
        <f t="shared" si="1"/>
        <v>0.23501209877442097</v>
      </c>
      <c r="H6" s="105">
        <f t="shared" si="2"/>
        <v>0.76498790122557903</v>
      </c>
    </row>
    <row r="7" spans="2:8" x14ac:dyDescent="0.25">
      <c r="B7" s="4" t="s">
        <v>102</v>
      </c>
      <c r="C7" s="106">
        <f>('Menu items'!O7)</f>
        <v>2.6126746451785841</v>
      </c>
      <c r="D7" s="102">
        <f t="shared" si="3"/>
        <v>8.7089154839286138</v>
      </c>
      <c r="E7" s="106">
        <v>13</v>
      </c>
      <c r="F7" s="103">
        <f t="shared" si="0"/>
        <v>10.387325354821416</v>
      </c>
      <c r="G7" s="104">
        <f t="shared" si="1"/>
        <v>0.20097497270604492</v>
      </c>
      <c r="H7" s="105">
        <f t="shared" si="2"/>
        <v>0.79902502729395508</v>
      </c>
    </row>
    <row r="8" spans="2:8" x14ac:dyDescent="0.25">
      <c r="B8" s="4" t="s">
        <v>138</v>
      </c>
      <c r="C8" s="106">
        <f>('Menu items'!O8)</f>
        <v>3.1447126997166386</v>
      </c>
      <c r="D8" s="102">
        <f t="shared" si="3"/>
        <v>10.482375665722129</v>
      </c>
      <c r="E8" s="106">
        <v>13</v>
      </c>
      <c r="F8" s="103">
        <f t="shared" si="0"/>
        <v>9.8552873002833614</v>
      </c>
      <c r="G8" s="104">
        <f t="shared" si="1"/>
        <v>0.2419009769012799</v>
      </c>
      <c r="H8" s="105">
        <f t="shared" si="2"/>
        <v>0.75809902309872013</v>
      </c>
    </row>
    <row r="9" spans="2:8" x14ac:dyDescent="0.25">
      <c r="B9" s="4" t="s">
        <v>108</v>
      </c>
      <c r="C9" s="106">
        <f>('Menu items'!O9)</f>
        <v>3.1443900716438047</v>
      </c>
      <c r="D9" s="102">
        <f t="shared" si="3"/>
        <v>10.481300238812683</v>
      </c>
      <c r="E9" s="106">
        <v>15</v>
      </c>
      <c r="F9" s="103">
        <f t="shared" si="0"/>
        <v>11.855609928356195</v>
      </c>
      <c r="G9" s="104">
        <f t="shared" si="1"/>
        <v>0.20962600477625365</v>
      </c>
      <c r="H9" s="105">
        <f t="shared" si="2"/>
        <v>0.7903739952237463</v>
      </c>
    </row>
    <row r="10" spans="2:8" x14ac:dyDescent="0.25">
      <c r="B10" s="4" t="s">
        <v>109</v>
      </c>
      <c r="C10" s="106">
        <f>('Menu items'!O10)</f>
        <v>3.325973048851782</v>
      </c>
      <c r="D10" s="102">
        <f t="shared" si="3"/>
        <v>11.08657682950594</v>
      </c>
      <c r="E10" s="106">
        <v>15</v>
      </c>
      <c r="F10" s="103">
        <f t="shared" si="0"/>
        <v>11.674026951148218</v>
      </c>
      <c r="G10" s="104">
        <f t="shared" si="1"/>
        <v>0.22173153659011879</v>
      </c>
      <c r="H10" s="105">
        <f t="shared" si="2"/>
        <v>0.77826846340988121</v>
      </c>
    </row>
    <row r="11" spans="2:8" ht="16.5" customHeight="1" x14ac:dyDescent="0.25">
      <c r="B11" s="91" t="s">
        <v>110</v>
      </c>
      <c r="C11" s="106">
        <f>('Menu items'!O11)</f>
        <v>4.3142542988517825</v>
      </c>
      <c r="D11" s="102">
        <f t="shared" si="3"/>
        <v>14.380847662839276</v>
      </c>
      <c r="E11" s="107">
        <v>15</v>
      </c>
      <c r="F11" s="103">
        <f t="shared" si="0"/>
        <v>10.685745701148218</v>
      </c>
      <c r="G11" s="104">
        <f t="shared" si="1"/>
        <v>0.28761695325678549</v>
      </c>
      <c r="H11" s="105">
        <f t="shared" si="2"/>
        <v>0.71238304674321451</v>
      </c>
    </row>
    <row r="12" spans="2:8" ht="16.5" customHeight="1" x14ac:dyDescent="0.25">
      <c r="B12" s="91" t="s">
        <v>131</v>
      </c>
      <c r="C12" s="106">
        <f>('Menu items'!O12)</f>
        <v>3.4155284645009476</v>
      </c>
      <c r="D12" s="102">
        <f t="shared" si="3"/>
        <v>11.385094881669826</v>
      </c>
      <c r="E12" s="107">
        <v>15</v>
      </c>
      <c r="F12" s="103">
        <f t="shared" si="0"/>
        <v>11.584471535499052</v>
      </c>
      <c r="G12" s="104">
        <f t="shared" si="1"/>
        <v>0.22770189763339652</v>
      </c>
      <c r="H12" s="105">
        <f t="shared" si="2"/>
        <v>0.77229810236660346</v>
      </c>
    </row>
    <row r="13" spans="2:8" x14ac:dyDescent="0.25">
      <c r="B13" s="4"/>
      <c r="C13" s="106"/>
      <c r="D13" s="102"/>
      <c r="E13" s="106"/>
      <c r="F13" s="103"/>
      <c r="G13" s="104"/>
      <c r="H13" s="105"/>
    </row>
    <row r="14" spans="2:8" x14ac:dyDescent="0.25">
      <c r="B14" s="4" t="s">
        <v>43</v>
      </c>
      <c r="C14" s="106">
        <f>('Menu items'!O16)</f>
        <v>3.6393098517355664</v>
      </c>
      <c r="D14" s="102">
        <f t="shared" si="3"/>
        <v>12.131032839118555</v>
      </c>
      <c r="E14" s="106">
        <v>13</v>
      </c>
      <c r="F14" s="103">
        <f t="shared" ref="F14:F22" si="4">SUM(E14-C14)</f>
        <v>9.3606901482644336</v>
      </c>
      <c r="G14" s="104">
        <f t="shared" ref="G14:G22" si="5">SUM(C14/E14)</f>
        <v>0.27994691167196667</v>
      </c>
      <c r="H14" s="105">
        <f t="shared" ref="H14:H22" si="6">(E14-C14)/E14</f>
        <v>0.72005308832803339</v>
      </c>
    </row>
    <row r="15" spans="2:8" x14ac:dyDescent="0.25">
      <c r="B15" s="4" t="s">
        <v>111</v>
      </c>
      <c r="C15" s="106">
        <f>('Menu items'!O18)</f>
        <v>4.055018925809641</v>
      </c>
      <c r="D15" s="102">
        <f t="shared" si="3"/>
        <v>13.516729752698804</v>
      </c>
      <c r="E15" s="106">
        <v>14</v>
      </c>
      <c r="F15" s="103">
        <f t="shared" si="4"/>
        <v>9.944981074190359</v>
      </c>
      <c r="G15" s="104">
        <f t="shared" si="5"/>
        <v>0.28964420898640292</v>
      </c>
      <c r="H15" s="105">
        <f t="shared" si="6"/>
        <v>0.71035579101359703</v>
      </c>
    </row>
    <row r="16" spans="2:8" x14ac:dyDescent="0.25">
      <c r="B16" s="4" t="s">
        <v>112</v>
      </c>
      <c r="C16" s="106">
        <f>('Menu items'!O19)</f>
        <v>5.0627039863509502</v>
      </c>
      <c r="D16" s="102">
        <f t="shared" si="3"/>
        <v>16.87567995450317</v>
      </c>
      <c r="E16" s="106">
        <v>17</v>
      </c>
      <c r="F16" s="103">
        <f t="shared" si="4"/>
        <v>11.93729601364905</v>
      </c>
      <c r="G16" s="104">
        <f t="shared" si="5"/>
        <v>0.29780611684417352</v>
      </c>
      <c r="H16" s="105">
        <f t="shared" si="6"/>
        <v>0.70219388315582643</v>
      </c>
    </row>
    <row r="17" spans="2:8" x14ac:dyDescent="0.25">
      <c r="B17" s="4" t="s">
        <v>113</v>
      </c>
      <c r="C17" s="106">
        <f>('Menu items'!O20)</f>
        <v>6.0509852363509502</v>
      </c>
      <c r="D17" s="102">
        <f t="shared" si="3"/>
        <v>20.169950787836502</v>
      </c>
      <c r="E17" s="106">
        <v>17</v>
      </c>
      <c r="F17" s="103">
        <f t="shared" si="4"/>
        <v>10.94901476364905</v>
      </c>
      <c r="G17" s="104">
        <f t="shared" si="5"/>
        <v>0.35594030802064414</v>
      </c>
      <c r="H17" s="105">
        <f t="shared" si="6"/>
        <v>0.64405969197935586</v>
      </c>
    </row>
    <row r="18" spans="2:8" x14ac:dyDescent="0.25">
      <c r="B18" s="4" t="s">
        <v>132</v>
      </c>
      <c r="C18" s="106">
        <f>('Menu items'!O21)</f>
        <v>5.1522594020001176</v>
      </c>
      <c r="D18" s="102">
        <f t="shared" si="3"/>
        <v>17.174198006667059</v>
      </c>
      <c r="E18" s="106">
        <v>17</v>
      </c>
      <c r="F18" s="103">
        <f t="shared" si="4"/>
        <v>11.847740597999882</v>
      </c>
      <c r="G18" s="104">
        <f t="shared" si="5"/>
        <v>0.30307408247059514</v>
      </c>
      <c r="H18" s="105">
        <f t="shared" si="6"/>
        <v>0.6969259175294048</v>
      </c>
    </row>
    <row r="19" spans="2:8" x14ac:dyDescent="0.25">
      <c r="B19" s="4" t="s">
        <v>122</v>
      </c>
      <c r="C19" s="106">
        <f>('Menu items'!O22)</f>
        <v>5.6766844283160793</v>
      </c>
      <c r="D19" s="102">
        <f t="shared" si="3"/>
        <v>18.922281427720264</v>
      </c>
      <c r="E19" s="106">
        <v>20</v>
      </c>
      <c r="F19" s="103">
        <f t="shared" si="4"/>
        <v>14.323315571683921</v>
      </c>
      <c r="G19" s="104">
        <f t="shared" si="5"/>
        <v>0.28383422141580394</v>
      </c>
      <c r="H19" s="105">
        <f t="shared" si="6"/>
        <v>0.71616577858419606</v>
      </c>
    </row>
    <row r="20" spans="2:8" x14ac:dyDescent="0.25">
      <c r="B20" s="4" t="s">
        <v>133</v>
      </c>
      <c r="C20" s="106">
        <f>('Menu items'!O23)</f>
        <v>5.8582674055240567</v>
      </c>
      <c r="D20" s="102">
        <f t="shared" si="3"/>
        <v>19.527558018413522</v>
      </c>
      <c r="E20" s="106">
        <v>20</v>
      </c>
      <c r="F20" s="103">
        <f t="shared" si="4"/>
        <v>14.141732594475943</v>
      </c>
      <c r="G20" s="104">
        <f t="shared" si="5"/>
        <v>0.29291337027620284</v>
      </c>
      <c r="H20" s="105">
        <f t="shared" si="6"/>
        <v>0.70708662972379721</v>
      </c>
    </row>
    <row r="21" spans="2:8" x14ac:dyDescent="0.25">
      <c r="B21" s="4" t="s">
        <v>134</v>
      </c>
      <c r="C21" s="106">
        <f>('Menu items'!O24)</f>
        <v>6.8465486555240567</v>
      </c>
      <c r="D21" s="102">
        <f t="shared" si="3"/>
        <v>22.821828851746858</v>
      </c>
      <c r="E21" s="106">
        <v>20</v>
      </c>
      <c r="F21" s="103">
        <f t="shared" si="4"/>
        <v>13.153451344475943</v>
      </c>
      <c r="G21" s="104">
        <f t="shared" si="5"/>
        <v>0.34232743277620281</v>
      </c>
      <c r="H21" s="105">
        <f t="shared" si="6"/>
        <v>0.65767256722379719</v>
      </c>
    </row>
    <row r="22" spans="2:8" x14ac:dyDescent="0.25">
      <c r="B22" s="4" t="s">
        <v>135</v>
      </c>
      <c r="C22" s="106">
        <f>('Menu items'!O25)</f>
        <v>5.9478228211732223</v>
      </c>
      <c r="D22" s="102">
        <f t="shared" si="3"/>
        <v>19.826076070577408</v>
      </c>
      <c r="E22" s="106">
        <v>20</v>
      </c>
      <c r="F22" s="108">
        <f t="shared" si="4"/>
        <v>14.052177178826778</v>
      </c>
      <c r="G22" s="104">
        <f t="shared" si="5"/>
        <v>0.2973911410586611</v>
      </c>
      <c r="H22" s="105">
        <f t="shared" si="6"/>
        <v>0.70260885894133884</v>
      </c>
    </row>
    <row r="23" spans="2:8" x14ac:dyDescent="0.25">
      <c r="B23" s="4"/>
      <c r="C23" s="106"/>
      <c r="D23" s="102"/>
      <c r="E23" s="106"/>
      <c r="F23" s="103"/>
      <c r="G23" s="104"/>
      <c r="H23" s="105"/>
    </row>
    <row r="24" spans="2:8" x14ac:dyDescent="0.25">
      <c r="B24" s="4" t="s">
        <v>114</v>
      </c>
      <c r="C24" s="106">
        <f>('Menu items'!O27)</f>
        <v>4.8202630407935505</v>
      </c>
      <c r="D24" s="102">
        <f t="shared" si="3"/>
        <v>16.067543469311836</v>
      </c>
      <c r="E24" s="106">
        <v>16</v>
      </c>
      <c r="F24" s="103">
        <f>SUM(E24-C24)</f>
        <v>11.179736959206449</v>
      </c>
      <c r="G24" s="104">
        <f>SUM(C24/E24)</f>
        <v>0.30126644004959691</v>
      </c>
      <c r="H24" s="105">
        <f>(E24-C24)/E24</f>
        <v>0.69873355995040309</v>
      </c>
    </row>
    <row r="25" spans="2:8" x14ac:dyDescent="0.25">
      <c r="B25" s="4" t="s">
        <v>115</v>
      </c>
      <c r="C25" s="106">
        <f>('Menu items'!O28)</f>
        <v>5.0018460180015261</v>
      </c>
      <c r="D25" s="102">
        <f t="shared" si="3"/>
        <v>16.672820060005087</v>
      </c>
      <c r="E25" s="106">
        <v>16</v>
      </c>
      <c r="F25" s="103">
        <f>SUM(E25-C25)</f>
        <v>10.998153981998474</v>
      </c>
      <c r="G25" s="104">
        <f>SUM(C25/E25)</f>
        <v>0.31261537612509538</v>
      </c>
      <c r="H25" s="105">
        <f>(E25-C25)/E25</f>
        <v>0.68738462387490462</v>
      </c>
    </row>
    <row r="26" spans="2:8" x14ac:dyDescent="0.25">
      <c r="B26" s="4" t="s">
        <v>116</v>
      </c>
      <c r="C26" s="106">
        <f>('Menu items'!O29)</f>
        <v>5.9901272680015261</v>
      </c>
      <c r="D26" s="102">
        <f t="shared" si="3"/>
        <v>19.967090893338423</v>
      </c>
      <c r="E26" s="106">
        <v>16</v>
      </c>
      <c r="F26" s="103">
        <f>SUM(E26-C26)</f>
        <v>10.009872731998474</v>
      </c>
      <c r="G26" s="104">
        <f>SUM(C26/E26)</f>
        <v>0.37438295425009538</v>
      </c>
      <c r="H26" s="105">
        <f>(E26-C26)/E26</f>
        <v>0.62561704574990462</v>
      </c>
    </row>
    <row r="27" spans="2:8" x14ac:dyDescent="0.25">
      <c r="B27" s="4" t="s">
        <v>136</v>
      </c>
      <c r="C27" s="106">
        <f>('Menu items'!O30)</f>
        <v>5.0914014336506934</v>
      </c>
      <c r="D27" s="102">
        <f t="shared" si="3"/>
        <v>16.971338112168979</v>
      </c>
      <c r="E27" s="106">
        <v>16</v>
      </c>
      <c r="F27" s="103">
        <f>SUM(E27-C27)</f>
        <v>10.908598566349307</v>
      </c>
      <c r="G27" s="104">
        <f>SUM(C27/E27)</f>
        <v>0.31821258960316834</v>
      </c>
      <c r="H27" s="105">
        <f>(E27-C27)/E27</f>
        <v>0.68178741039683166</v>
      </c>
    </row>
    <row r="28" spans="2:8" x14ac:dyDescent="0.25">
      <c r="B28" s="4"/>
      <c r="C28" s="106"/>
      <c r="D28" s="102"/>
      <c r="E28" s="106"/>
      <c r="F28" s="103"/>
      <c r="G28" s="104"/>
      <c r="H28" s="105"/>
    </row>
    <row r="29" spans="2:8" x14ac:dyDescent="0.25">
      <c r="B29" s="100" t="s">
        <v>117</v>
      </c>
      <c r="C29" s="106">
        <f>('Menu items'!O32)</f>
        <v>2.1844160077201584</v>
      </c>
      <c r="D29" s="102">
        <f t="shared" si="3"/>
        <v>7.2813866924005284</v>
      </c>
      <c r="E29" s="106">
        <v>10</v>
      </c>
      <c r="F29" s="103">
        <f>SUM(E29-C29)</f>
        <v>7.8155839922798416</v>
      </c>
      <c r="G29" s="104">
        <f>SUM(C29/E29)</f>
        <v>0.21844160077201585</v>
      </c>
      <c r="H29" s="105">
        <f>(E29-C29)/E29</f>
        <v>0.7815583992279842</v>
      </c>
    </row>
    <row r="30" spans="2:8" x14ac:dyDescent="0.25">
      <c r="B30" s="100" t="s">
        <v>118</v>
      </c>
      <c r="C30" s="106">
        <f>('Menu items'!O33)</f>
        <v>2.3659989849281358</v>
      </c>
      <c r="D30" s="102">
        <f t="shared" si="3"/>
        <v>7.8866632830937862</v>
      </c>
      <c r="E30" s="106">
        <v>10</v>
      </c>
      <c r="F30" s="103">
        <f>SUM(E30-C30)</f>
        <v>7.6340010150718642</v>
      </c>
      <c r="G30" s="104">
        <f>SUM(C30/E30)</f>
        <v>0.23659989849281357</v>
      </c>
      <c r="H30" s="105">
        <f>(E30-C30)/E30</f>
        <v>0.7634001015071864</v>
      </c>
    </row>
    <row r="31" spans="2:8" x14ac:dyDescent="0.25">
      <c r="B31" s="100" t="s">
        <v>119</v>
      </c>
      <c r="C31" s="106">
        <f>('Menu items'!O34)</f>
        <v>3.3542802349281353</v>
      </c>
      <c r="D31" s="102">
        <f t="shared" si="3"/>
        <v>11.180934116427117</v>
      </c>
      <c r="E31" s="106">
        <v>10</v>
      </c>
      <c r="F31" s="103">
        <f>SUM(E31-C31)</f>
        <v>6.6457197650718651</v>
      </c>
      <c r="G31" s="104">
        <f>SUM(C31/E31)</f>
        <v>0.33542802349281353</v>
      </c>
      <c r="H31" s="105">
        <f>(E31-C31)/E31</f>
        <v>0.66457197650718647</v>
      </c>
    </row>
    <row r="32" spans="2:8" x14ac:dyDescent="0.25">
      <c r="B32" s="100" t="s">
        <v>137</v>
      </c>
      <c r="C32" s="106">
        <f>('Menu items'!O35)</f>
        <v>2.4555544005773013</v>
      </c>
      <c r="D32" s="102">
        <f t="shared" si="3"/>
        <v>8.1851813352576723</v>
      </c>
      <c r="E32" s="106">
        <v>10</v>
      </c>
      <c r="F32" s="103">
        <f>SUM(E32-C32)</f>
        <v>7.5444455994226987</v>
      </c>
      <c r="G32" s="104">
        <f>SUM(C32/E32)</f>
        <v>0.24555544005773014</v>
      </c>
      <c r="H32" s="105">
        <f>(E32-C32)/E32</f>
        <v>0.75444455994226989</v>
      </c>
    </row>
    <row r="33" spans="2:8" x14ac:dyDescent="0.25">
      <c r="B33" s="4"/>
      <c r="C33" s="106"/>
      <c r="D33" s="102"/>
      <c r="E33" s="106"/>
      <c r="F33" s="103"/>
      <c r="G33" s="104"/>
      <c r="H33" s="105"/>
    </row>
    <row r="34" spans="2:8" x14ac:dyDescent="0.25">
      <c r="B34" s="4" t="s">
        <v>120</v>
      </c>
      <c r="C34" s="106">
        <f>('Menu items'!O14)</f>
        <v>2.1635279257127831</v>
      </c>
      <c r="D34" s="102">
        <f t="shared" si="3"/>
        <v>7.2117597523759436</v>
      </c>
      <c r="E34" s="106">
        <v>8</v>
      </c>
      <c r="F34" s="103">
        <f>SUM(E34-C34)</f>
        <v>5.8364720742872169</v>
      </c>
      <c r="G34" s="104">
        <f>SUM(C34/E34)</f>
        <v>0.27044099071409788</v>
      </c>
      <c r="H34" s="105">
        <f>(E34-C34)/E34</f>
        <v>0.72955900928590212</v>
      </c>
    </row>
    <row r="35" spans="2:8" x14ac:dyDescent="0.25">
      <c r="B35" s="4"/>
      <c r="C35" s="107"/>
      <c r="D35" s="102"/>
      <c r="E35" s="106"/>
      <c r="F35" s="103"/>
      <c r="G35" s="104"/>
      <c r="H35" s="105"/>
    </row>
    <row r="36" spans="2:8" x14ac:dyDescent="0.25">
      <c r="B36" s="109" t="s">
        <v>46</v>
      </c>
      <c r="C36" s="107">
        <f>('Menu items'!O47)</f>
        <v>1.052834375</v>
      </c>
      <c r="D36" s="102">
        <f t="shared" si="3"/>
        <v>3.5094479166666668</v>
      </c>
      <c r="E36" s="107">
        <v>5</v>
      </c>
      <c r="F36" s="103">
        <f>SUM(E36-C36)</f>
        <v>3.9471656250000002</v>
      </c>
      <c r="G36" s="104">
        <f>SUM(C36/E36)</f>
        <v>0.21056687499999999</v>
      </c>
      <c r="H36" s="105">
        <f>(E36-C36)/E36</f>
        <v>0.78943312500000007</v>
      </c>
    </row>
    <row r="37" spans="2:8" x14ac:dyDescent="0.25">
      <c r="B37" s="4" t="s">
        <v>78</v>
      </c>
      <c r="C37" s="107">
        <f>('Menu items'!O48)</f>
        <v>1.0027788194444442</v>
      </c>
      <c r="D37" s="102">
        <f t="shared" si="3"/>
        <v>3.3425960648148143</v>
      </c>
      <c r="E37" s="106">
        <v>5</v>
      </c>
      <c r="F37" s="103">
        <f>SUM(E37-C37)</f>
        <v>3.997221180555556</v>
      </c>
      <c r="G37" s="104">
        <f>SUM(C37/E37)</f>
        <v>0.20055576388888885</v>
      </c>
      <c r="H37" s="105">
        <f>(E37-C37)/E37</f>
        <v>0.79944423611111115</v>
      </c>
    </row>
    <row r="38" spans="2:8" x14ac:dyDescent="0.25">
      <c r="B38" s="4" t="s">
        <v>82</v>
      </c>
      <c r="C38" s="107">
        <f>('Menu items'!O49)</f>
        <v>0.73480922619047628</v>
      </c>
      <c r="D38" s="102">
        <f t="shared" si="3"/>
        <v>2.4493640873015878</v>
      </c>
      <c r="E38" s="106">
        <v>5</v>
      </c>
      <c r="F38" s="103">
        <f>SUM(E38-C38)</f>
        <v>4.2651907738095236</v>
      </c>
      <c r="G38" s="104">
        <f>SUM(C38/E38)</f>
        <v>0.14696184523809525</v>
      </c>
      <c r="H38" s="105">
        <f>(E38-C38)/E38</f>
        <v>0.8530381547619047</v>
      </c>
    </row>
    <row r="39" spans="2:8" x14ac:dyDescent="0.25">
      <c r="B39" s="4"/>
      <c r="C39" s="52"/>
      <c r="D39" s="102"/>
      <c r="E39" s="106"/>
      <c r="F39" s="103"/>
      <c r="G39" s="104"/>
      <c r="H39" s="105"/>
    </row>
    <row r="40" spans="2:8" x14ac:dyDescent="0.25">
      <c r="B40" s="4" t="s">
        <v>169</v>
      </c>
      <c r="C40" s="52">
        <f>('Menu items'!O53)</f>
        <v>0.25093186955854302</v>
      </c>
      <c r="D40" s="102">
        <f t="shared" si="3"/>
        <v>0.8364395651951434</v>
      </c>
      <c r="E40" s="106">
        <v>0.5</v>
      </c>
      <c r="F40" s="103">
        <f>SUM(E40-C40)</f>
        <v>0.24906813044145698</v>
      </c>
      <c r="G40" s="104">
        <f>SUM(C40/E40)</f>
        <v>0.50186373911708604</v>
      </c>
      <c r="H40" s="105">
        <f>(E40-C40)/E40</f>
        <v>0.49813626088291396</v>
      </c>
    </row>
    <row r="41" spans="2:8" x14ac:dyDescent="0.25">
      <c r="B41" s="4"/>
      <c r="C41" s="52"/>
      <c r="D41" s="102"/>
      <c r="E41" s="106"/>
      <c r="F41" s="4"/>
      <c r="G41" s="6"/>
      <c r="H41" s="4"/>
    </row>
    <row r="42" spans="2:8" x14ac:dyDescent="0.25">
      <c r="B42" s="4"/>
      <c r="C42" s="52"/>
      <c r="D42" s="102"/>
      <c r="E42" s="106"/>
      <c r="F42" s="4"/>
      <c r="G42" s="6"/>
      <c r="H42"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guide</vt:lpstr>
      <vt:lpstr>Ingredients</vt:lpstr>
      <vt:lpstr>Meat Prep</vt:lpstr>
      <vt:lpstr>Meat Recipes</vt:lpstr>
      <vt:lpstr>Other recipes</vt:lpstr>
      <vt:lpstr>Packaging</vt:lpstr>
      <vt:lpstr>Menu items</vt:lpstr>
      <vt:lpstr>Cost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McNicol</dc:creator>
  <cp:lastModifiedBy>Scott McNicol</cp:lastModifiedBy>
  <dcterms:created xsi:type="dcterms:W3CDTF">2026-08-09T01:47:25Z</dcterms:created>
  <dcterms:modified xsi:type="dcterms:W3CDTF">2026-09-18T12:45:08Z</dcterms:modified>
</cp:coreProperties>
</file>